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cept-voorblad" sheetId="1" state="visible" r:id="rId1"/>
    <sheet xmlns:r="http://schemas.openxmlformats.org/officeDocument/2006/relationships" name="Brouwen" sheetId="2" state="visible" r:id="rId2"/>
    <sheet xmlns:r="http://schemas.openxmlformats.org/officeDocument/2006/relationships" name="Gistkaart Invoer" sheetId="3" state="visible" r:id="rId3"/>
    <sheet xmlns:r="http://schemas.openxmlformats.org/officeDocument/2006/relationships" name="Verwerking" sheetId="4" state="visible" r:id="rId4"/>
    <sheet xmlns:r="http://schemas.openxmlformats.org/officeDocument/2006/relationships" name="Afvullen" sheetId="5" state="visible" r:id="rId5"/>
    <sheet xmlns:r="http://schemas.openxmlformats.org/officeDocument/2006/relationships" name="Afvulverslag" sheetId="6" state="visible" r:id="rId6"/>
  </sheets>
  <definedNames>
    <definedName name="_xleta.ROUND" hidden="1" function="0" vbProcedure="0">#NAME?</definedName>
    <definedName name="_xleta.ROUNDUP" hidden="1" function="0" vbProcedure="0">#NAME?</definedName>
    <definedName name="_xleta.TYPE" hidden="1" function="0" vbProcedure="0">#NAME?</definedName>
    <definedName name="_xlnm.Print_Area" localSheetId="0">'Recept-voorblad'!$A$1:$P$107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4">
    <numFmt numFmtId="164" formatCode="[$-413]General"/>
    <numFmt numFmtId="165" formatCode="_ &quot;€ &quot;* #,##0.00_ ;_ &quot;€ &quot;* \-#,##0.00_ ;_ &quot;€ &quot;* \-??_ ;_ @_ "/>
    <numFmt numFmtId="166" formatCode="m/d/yyyy"/>
    <numFmt numFmtId="167" formatCode="0.0"/>
    <numFmt numFmtId="168" formatCode="[$-413]0"/>
    <numFmt numFmtId="169" formatCode="_ [$€-413]\ * #,##0.00_ ;_ [$€-413]\ * \-#,##0.00_ ;_ [$€-413]\ * \-??_ ;_ @_ "/>
    <numFmt numFmtId="170" formatCode="[$-413]0.00"/>
    <numFmt numFmtId="171" formatCode="d/mm/yy;@"/>
    <numFmt numFmtId="172" formatCode="d/mm/yy\ h:mm;@"/>
    <numFmt numFmtId="173" formatCode="d\-mmm\-yy"/>
    <numFmt numFmtId="174" formatCode="d\-mmm"/>
    <numFmt numFmtId="175" formatCode="h:mm;@"/>
    <numFmt numFmtId="176" formatCode="0.0%"/>
    <numFmt numFmtId="177" formatCode="0.0000"/>
  </numFmts>
  <fonts count="74">
    <font>
      <name val="Arial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Arial"/>
      <charset val="1"/>
      <family val="2"/>
      <color theme="1"/>
      <sz val="11"/>
    </font>
    <font>
      <name val="Arial"/>
      <charset val="1"/>
      <family val="2"/>
      <sz val="10"/>
    </font>
    <font>
      <name val="Calibri"/>
      <charset val="1"/>
      <family val="2"/>
      <color theme="1"/>
      <sz val="12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0"/>
    </font>
    <font>
      <name val="Calibri"/>
      <charset val="1"/>
      <family val="2"/>
      <color rgb="FFFF0000"/>
      <sz val="11"/>
    </font>
    <font>
      <name val="Calibri"/>
      <charset val="1"/>
      <family val="2"/>
      <color theme="0"/>
      <sz val="20"/>
    </font>
    <font>
      <name val="Calibri"/>
      <charset val="1"/>
      <family val="2"/>
      <color theme="1"/>
      <sz val="14"/>
    </font>
    <font>
      <name val="Calibri"/>
      <charset val="1"/>
      <family val="2"/>
      <color theme="1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8.5"/>
    </font>
    <font>
      <name val="Calibri"/>
      <charset val="1"/>
      <family val="2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0"/>
      <sz val="16"/>
      <u val="single"/>
    </font>
    <font>
      <name val="Calibri"/>
      <charset val="1"/>
      <family val="2"/>
      <b val="1"/>
      <sz val="10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strike val="1"/>
      <color rgb="FFFF0000"/>
      <sz val="11"/>
    </font>
    <font>
      <name val="Calibri"/>
      <charset val="1"/>
      <family val="2"/>
      <b val="1"/>
      <color rgb="FFFF0000"/>
      <sz val="12"/>
    </font>
    <font>
      <name val="Calibri"/>
      <charset val="1"/>
      <family val="2"/>
      <sz val="11"/>
    </font>
    <font>
      <name val="Calibri"/>
      <charset val="1"/>
      <family val="2"/>
      <color rgb="FFFF0000"/>
      <sz val="12"/>
    </font>
    <font>
      <name val="Calibri"/>
      <charset val="1"/>
      <family val="2"/>
      <color rgb="FF000000"/>
      <sz val="10"/>
    </font>
    <font>
      <name val="Calibri"/>
      <charset val="1"/>
      <family val="2"/>
      <color rgb="FFFF0000"/>
      <sz val="8"/>
    </font>
    <font>
      <name val="Calibri"/>
      <charset val="1"/>
      <family val="2"/>
      <color theme="1"/>
      <sz val="9"/>
    </font>
    <font>
      <name val="Calibri"/>
      <charset val="1"/>
      <family val="2"/>
      <sz val="8"/>
    </font>
    <font>
      <name val="Calibri"/>
      <charset val="1"/>
      <family val="2"/>
      <sz val="12"/>
    </font>
    <font>
      <name val="Calibri"/>
      <charset val="1"/>
      <family val="2"/>
      <sz val="14"/>
    </font>
    <font>
      <name val="Arial"/>
      <charset val="1"/>
      <family val="2"/>
      <color theme="0"/>
      <sz val="10"/>
    </font>
    <font>
      <name val="Arial"/>
      <charset val="1"/>
      <family val="2"/>
      <color rgb="FFFF0000"/>
      <sz val="11"/>
    </font>
    <font>
      <name val="Arial"/>
      <charset val="1"/>
      <family val="2"/>
      <color rgb="FFFF0000"/>
      <sz val="10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color theme="0"/>
      <sz val="18"/>
      <u val="single"/>
    </font>
    <font>
      <name val="Calibri"/>
      <charset val="1"/>
      <family val="2"/>
      <b val="1"/>
      <color theme="1"/>
      <sz val="14"/>
    </font>
    <font>
      <name val="Consolas"/>
      <charset val="1"/>
      <family val="3"/>
      <color theme="0"/>
      <sz val="7"/>
    </font>
    <font>
      <name val="Calibri"/>
      <charset val="1"/>
      <family val="2"/>
      <color rgb="FF00B050"/>
      <sz val="10"/>
    </font>
    <font>
      <name val="Arial"/>
      <charset val="1"/>
      <family val="2"/>
      <color theme="0"/>
      <sz val="11"/>
    </font>
    <font>
      <name val="Arial"/>
      <charset val="1"/>
      <family val="2"/>
      <b val="1"/>
      <sz val="11"/>
    </font>
    <font>
      <name val="Arial"/>
      <charset val="1"/>
      <family val="2"/>
      <b val="1"/>
      <sz val="14"/>
    </font>
    <font>
      <name val="Arial"/>
      <charset val="1"/>
      <family val="2"/>
      <sz val="11"/>
    </font>
    <font>
      <name val="Calibri"/>
      <charset val="1"/>
      <family val="2"/>
      <b val="1"/>
      <color theme="0"/>
      <sz val="11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Arial"/>
      <charset val="1"/>
      <family val="2"/>
      <sz val="9"/>
    </font>
    <font>
      <name val="Arial"/>
      <charset val="1"/>
      <family val="2"/>
      <color rgb="FF000080"/>
      <sz val="10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rgb="FF3F3F76"/>
      <sz val="11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D9D9D9"/>
      <sz val="11"/>
    </font>
    <font>
      <name val="Calibri"/>
      <charset val="1"/>
      <family val="2"/>
      <b val="1"/>
      <color theme="0" tint="-0.15"/>
      <sz val="11"/>
    </font>
    <font>
      <name val="Calibri"/>
      <charset val="1"/>
      <family val="2"/>
      <b val="1"/>
      <color theme="1"/>
      <sz val="11"/>
      <u val="single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FFFF00"/>
      <sz val="11"/>
    </font>
    <font>
      <name val="Calibri"/>
      <charset val="1"/>
      <family val="2"/>
      <color theme="3"/>
      <sz val="11"/>
    </font>
    <font>
      <name val="Calibri"/>
      <charset val="1"/>
      <family val="2"/>
      <b val="1"/>
      <color theme="0"/>
      <sz val="20"/>
      <u val="single"/>
    </font>
    <font>
      <name val="Aptos Narrow"/>
      <charset val="1"/>
      <family val="2"/>
      <sz val="11"/>
    </font>
    <font>
      <name val="Aptos Narrow"/>
      <charset val="1"/>
      <family val="2"/>
      <color theme="0"/>
      <sz val="11"/>
    </font>
    <font>
      <name val="Calibri"/>
      <charset val="1"/>
      <family val="2"/>
      <b val="1"/>
      <color theme="1"/>
      <sz val="18"/>
    </font>
    <font>
      <name val="Calibri"/>
      <charset val="1"/>
      <family val="2"/>
      <b val="1"/>
      <color theme="1"/>
      <sz val="18"/>
      <u val="single"/>
    </font>
    <font>
      <name val="Calibri"/>
      <charset val="1"/>
      <family val="2"/>
      <color theme="0" tint="-0.15"/>
      <sz val="11"/>
    </font>
  </fonts>
  <fills count="20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theme="6" tint="0.3999"/>
        <bgColor rgb="FFBFBFBF"/>
      </patternFill>
    </fill>
    <fill>
      <patternFill patternType="solid">
        <fgColor theme="7" tint="0.7999000000000001"/>
        <bgColor rgb="FFFFFFCC"/>
      </patternFill>
    </fill>
    <fill>
      <patternFill patternType="solid">
        <fgColor rgb="FFFFFF00"/>
        <bgColor rgb="FFFFC000"/>
      </patternFill>
    </fill>
    <fill>
      <patternFill patternType="solid">
        <fgColor rgb="FF002060"/>
        <bgColor rgb="FF000080"/>
      </patternFill>
    </fill>
    <fill>
      <patternFill patternType="solid">
        <fgColor theme="4" tint="0.5999"/>
        <bgColor rgb="FFC9C9C9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2CC"/>
      </patternFill>
    </fill>
    <fill>
      <patternFill patternType="solid">
        <fgColor rgb="FFBFBFBF"/>
        <bgColor rgb="FFC9C9C9"/>
      </patternFill>
    </fill>
    <fill>
      <patternFill patternType="solid">
        <fgColor rgb="FFD9D9D9"/>
        <bgColor rgb="FFC9C9C9"/>
      </patternFill>
    </fill>
    <fill>
      <patternFill patternType="solid">
        <fgColor rgb="FFFFCC99"/>
        <bgColor rgb="FFF4B183"/>
      </patternFill>
    </fill>
    <fill>
      <patternFill patternType="solid">
        <fgColor rgb="FFA5A5A5"/>
        <bgColor rgb="FFBFBFBF"/>
      </patternFill>
    </fill>
    <fill>
      <patternFill patternType="solid">
        <fgColor theme="3"/>
        <bgColor rgb="FF003300"/>
      </patternFill>
    </fill>
    <fill>
      <patternFill patternType="solid">
        <fgColor theme="7"/>
        <bgColor rgb="FFFF9900"/>
      </patternFill>
    </fill>
    <fill>
      <patternFill patternType="solid">
        <fgColor rgb="FF00B0F0"/>
        <bgColor rgb="FF008080"/>
      </patternFill>
    </fill>
    <fill>
      <patternFill patternType="solid">
        <fgColor rgb="FF6699FF"/>
        <bgColor rgb="FFA5A5A5"/>
      </patternFill>
    </fill>
  </fills>
  <borders count="18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 style="hair"/>
      <bottom style="hair"/>
      <diagonal/>
    </border>
    <border>
      <left/>
      <right/>
      <top style="hair"/>
      <bottom style="hair"/>
      <diagonal/>
    </border>
    <border>
      <left style="thin"/>
      <right/>
      <top style="thin"/>
      <bottom style="hair"/>
      <diagonal/>
    </border>
    <border>
      <left/>
      <right style="thin"/>
      <top style="thin"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/>
      <right/>
      <top style="hair"/>
      <bottom style="thin"/>
      <diagonal/>
    </border>
    <border>
      <left/>
      <right style="thin"/>
      <top style="hair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/>
      <bottom style="hair"/>
      <diagonal/>
    </border>
    <border>
      <left/>
      <right/>
      <top style="thin"/>
      <bottom style="hair"/>
      <diagonal/>
    </border>
    <border>
      <left style="thin"/>
      <right/>
      <top style="hair"/>
      <bottom style="hair"/>
      <diagonal/>
    </border>
    <border>
      <left/>
      <right/>
      <top style="thin"/>
      <bottom style="thin"/>
      <diagonal/>
    </border>
    <border>
      <left style="thin"/>
      <right/>
      <top style="hair"/>
      <bottom style="thin"/>
      <diagonal/>
    </border>
    <border>
      <left style="thin"/>
      <right style="dashed"/>
      <top style="dashed"/>
      <bottom style="dashed"/>
      <diagonal/>
    </border>
    <border>
      <left style="dashed"/>
      <right style="thin"/>
      <top style="dashed"/>
      <bottom style="dashed"/>
      <diagonal/>
    </border>
    <border>
      <left/>
      <right style="dashed"/>
      <top style="dashed"/>
      <bottom style="dashed"/>
      <diagonal/>
    </border>
    <border>
      <left style="dashed"/>
      <right/>
      <top style="dashed"/>
      <bottom style="dashed"/>
      <diagonal/>
    </border>
    <border>
      <left style="thin"/>
      <right style="thin"/>
      <top/>
      <bottom style="dashed"/>
      <diagonal/>
    </border>
    <border>
      <left style="thin"/>
      <right/>
      <top style="dashed"/>
      <bottom style="dashed"/>
      <diagonal/>
    </border>
    <border>
      <left/>
      <right style="thin"/>
      <top style="dashed"/>
      <bottom style="dashed"/>
      <diagonal/>
    </border>
    <border>
      <left/>
      <right/>
      <top style="dashed"/>
      <bottom style="dashed"/>
      <diagonal/>
    </border>
    <border>
      <left style="thin"/>
      <right style="thin"/>
      <top style="dashed"/>
      <bottom style="dashed"/>
      <diagonal/>
    </border>
    <border>
      <left style="thin"/>
      <right/>
      <top style="dashed"/>
      <bottom style="thin"/>
      <diagonal/>
    </border>
    <border>
      <left/>
      <right style="thin"/>
      <top style="dashed"/>
      <bottom style="thin"/>
      <diagonal/>
    </border>
    <border>
      <left style="thin"/>
      <right/>
      <top style="thin"/>
      <bottom style="dashed"/>
      <diagonal/>
    </border>
    <border>
      <left/>
      <right style="thin"/>
      <top style="thin"/>
      <bottom style="dashed"/>
      <diagonal/>
    </border>
    <border>
      <left/>
      <right style="thin"/>
      <top/>
      <bottom style="dashed"/>
      <diagonal/>
    </border>
    <border>
      <left style="thin"/>
      <right/>
      <top style="dashed"/>
      <bottom/>
      <diagonal/>
    </border>
    <border>
      <left style="thin"/>
      <right style="thin"/>
      <top style="thin"/>
      <bottom style="dashed"/>
      <diagonal/>
    </border>
    <border>
      <left/>
      <right/>
      <top style="dashed"/>
      <bottom/>
      <diagonal/>
    </border>
    <border>
      <left/>
      <right style="thin"/>
      <top style="dashed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dashed"/>
      <bottom style="dashed"/>
      <diagonal/>
    </border>
    <border>
      <left style="hair"/>
      <right style="thin"/>
      <top style="dashed"/>
      <bottom style="dashed"/>
      <diagonal/>
    </border>
    <border>
      <left style="thin"/>
      <right/>
      <top/>
      <bottom style="dashed"/>
      <diagonal/>
    </border>
    <border>
      <left/>
      <right/>
      <top/>
      <bottom style="dashed"/>
      <diagonal/>
    </border>
    <border>
      <left style="thin"/>
      <right/>
      <top style="hair"/>
      <bottom/>
      <diagonal/>
    </border>
    <border>
      <left/>
      <right style="thin"/>
      <top style="hair"/>
      <bottom/>
      <diagonal/>
    </border>
    <border>
      <left style="thin"/>
      <right style="thin"/>
      <top style="hair"/>
      <bottom/>
      <diagonal/>
    </border>
    <border>
      <left style="thin"/>
      <right style="thin"/>
      <top style="dashed"/>
      <bottom/>
      <diagonal/>
    </border>
    <border>
      <left style="thin"/>
      <right style="hair"/>
      <top style="hair"/>
      <bottom/>
      <diagonal/>
    </border>
    <border>
      <left/>
      <right/>
      <top style="dashed"/>
      <bottom style="thin"/>
      <diagonal/>
    </border>
    <border>
      <left style="medium"/>
      <right/>
      <top/>
      <bottom/>
      <diagonal/>
    </border>
    <border>
      <left style="medium"/>
      <right style="hair"/>
      <top style="medium"/>
      <bottom style="medium"/>
      <diagonal/>
    </border>
    <border>
      <left style="hair"/>
      <right style="hair"/>
      <top style="medium"/>
      <bottom style="medium"/>
      <diagonal/>
    </border>
    <border>
      <left style="hair"/>
      <right style="medium"/>
      <top style="medium"/>
      <bottom style="medium"/>
      <diagonal/>
    </border>
    <border>
      <left style="dotted"/>
      <right style="medium"/>
      <top style="medium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/>
      <right style="medium"/>
      <top style="medium"/>
      <bottom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medium"/>
      <top/>
      <bottom/>
      <diagonal/>
    </border>
    <border>
      <left style="medium"/>
      <right style="thin"/>
      <top/>
      <bottom style="medium"/>
      <diagonal/>
    </border>
    <border>
      <left/>
      <right/>
      <top/>
      <bottom style="medium"/>
      <diagonal/>
    </border>
    <border>
      <left style="medium"/>
      <right style="dotted"/>
      <top style="medium"/>
      <bottom style="medium"/>
      <diagonal/>
    </border>
    <border>
      <left style="dotted"/>
      <right style="dotted"/>
      <top style="medium"/>
      <bottom style="medium"/>
      <diagonal/>
    </border>
    <border>
      <left/>
      <right style="dotted"/>
      <top style="medium"/>
      <bottom style="medium"/>
      <diagonal/>
    </border>
    <border>
      <left style="dotted"/>
      <right style="dotted"/>
      <top style="medium"/>
      <bottom/>
      <diagonal/>
    </border>
    <border>
      <left style="dotted"/>
      <right/>
      <top style="medium"/>
      <bottom style="medium"/>
      <diagonal/>
    </border>
    <border>
      <left/>
      <right/>
      <top style="medium"/>
      <bottom style="medium"/>
      <diagonal/>
    </border>
    <border>
      <left style="medium"/>
      <right/>
      <top style="medium"/>
      <bottom style="hair"/>
      <diagonal/>
    </border>
    <border>
      <left style="medium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medium"/>
      <top style="medium"/>
      <bottom style="hair"/>
      <diagonal/>
    </border>
    <border>
      <left style="medium"/>
      <right style="dotted"/>
      <top/>
      <bottom style="medium"/>
      <diagonal/>
    </border>
    <border>
      <left style="medium"/>
      <right/>
      <top style="hair"/>
      <bottom style="hair"/>
      <diagonal/>
    </border>
    <border>
      <left style="medium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/>
      <right style="dotted"/>
      <top style="medium"/>
      <bottom style="dashed"/>
      <diagonal/>
    </border>
    <border>
      <left style="dotted"/>
      <right style="dotted"/>
      <top style="medium"/>
      <bottom style="dashed"/>
      <diagonal/>
    </border>
    <border>
      <left style="dotted"/>
      <right style="dotted"/>
      <top style="medium"/>
      <bottom style="hair"/>
      <diagonal/>
    </border>
    <border>
      <left style="dotted"/>
      <right style="medium"/>
      <top style="medium"/>
      <bottom style="hair"/>
      <diagonal/>
    </border>
    <border>
      <left/>
      <right style="dotted"/>
      <top/>
      <bottom style="dotted"/>
      <diagonal/>
    </border>
    <border>
      <left style="dotted"/>
      <right style="dotted"/>
      <top/>
      <bottom style="dotted"/>
      <diagonal/>
    </border>
    <border>
      <left style="dotted"/>
      <right style="dotted"/>
      <top style="hair"/>
      <bottom style="hair"/>
      <diagonal/>
    </border>
    <border>
      <left style="dotted"/>
      <right style="medium"/>
      <top style="hair"/>
      <bottom style="hair"/>
      <diagonal/>
    </border>
    <border>
      <left/>
      <right style="dotted"/>
      <top/>
      <bottom style="hair"/>
      <diagonal/>
    </border>
    <border>
      <left style="dotted"/>
      <right style="dotted"/>
      <top/>
      <bottom style="hair"/>
      <diagonal/>
    </border>
    <border>
      <left style="medium"/>
      <right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/>
      <bottom/>
      <diagonal/>
    </border>
    <border>
      <left/>
      <right style="thin">
        <color rgb="FF7F7F7F"/>
      </right>
      <top style="medium"/>
      <bottom style="thin">
        <color rgb="FF7F7F7F"/>
      </bottom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thin"/>
      <diagonal/>
    </border>
    <border>
      <left style="thin">
        <color rgb="FF7F7F7F"/>
      </left>
      <right style="thin">
        <color rgb="FF7F7F7F"/>
      </right>
      <top style="thin"/>
      <bottom style="thin"/>
      <diagonal/>
    </border>
    <border>
      <left/>
      <right style="medium"/>
      <top style="thin"/>
      <bottom style="thin"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/>
      <right style="medium"/>
      <top style="thin"/>
      <bottom style="medium"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/>
      <diagonal/>
    </border>
    <border>
      <left/>
      <right style="double">
        <color rgb="FF3F3F3F"/>
      </right>
      <top style="thin"/>
      <bottom style="medium"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/>
      <right style="thin">
        <color rgb="FF3F3F3F"/>
      </right>
      <top style="medium"/>
      <bottom style="medium"/>
      <diagonal/>
    </border>
    <border>
      <left/>
      <right style="thin">
        <color rgb="FF3F3F3F"/>
      </right>
      <top/>
      <bottom style="medium"/>
      <diagonal/>
    </border>
    <border>
      <left style="thin">
        <color rgb="FF3F3F3F"/>
      </left>
      <right style="thin">
        <color rgb="FF3F3F3F"/>
      </right>
      <top style="medium"/>
      <bottom style="medium"/>
      <diagonal/>
    </border>
    <border>
      <left style="thin">
        <color rgb="FF3F3F3F"/>
      </left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/>
      <right/>
      <top style="hair"/>
      <bottom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  <border>
      <left style="thin"/>
      <right style="thin"/>
      <top/>
      <bottom style="dotted"/>
      <diagonal/>
    </border>
    <border>
      <left style="double"/>
      <right style="double"/>
      <top style="double"/>
      <bottom style="thin"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double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 style="thin"/>
      <top/>
      <bottom style="thin"/>
      <diagonal/>
    </border>
    <border>
      <left style="double"/>
      <right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  <border>
      <left/>
      <right style="hair"/>
      <top style="thin"/>
      <bottom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 style="hair"/>
      <top style="medium"/>
      <bottom/>
      <diagonal/>
    </border>
    <border>
      <left/>
      <right style="hair"/>
      <top/>
      <bottom/>
      <diagonal/>
    </border>
    <border>
      <left/>
      <right style="hair"/>
      <top/>
      <bottom style="medium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medium"/>
      <diagonal/>
    </border>
    <border>
      <left style="hair"/>
      <right style="medium"/>
      <top/>
      <bottom/>
      <diagonal/>
    </border>
    <border>
      <left style="hair"/>
      <right style="medium"/>
      <top/>
      <bottom style="medium"/>
      <diagonal/>
    </border>
    <border>
      <left style="dotted"/>
      <right/>
      <top/>
      <bottom/>
      <diagonal/>
    </border>
    <border>
      <left style="dotted"/>
      <right style="medium"/>
      <top/>
      <bottom/>
      <diagonal/>
    </border>
    <border>
      <left style="dotted"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dotted"/>
      <right/>
      <top/>
      <bottom style="medium"/>
      <diagonal/>
    </border>
    <border>
      <left/>
      <right style="dotted"/>
      <top style="medium"/>
      <bottom/>
      <diagonal/>
    </border>
    <border>
      <left/>
      <right/>
      <top style="medium"/>
      <bottom style="hair"/>
      <diagonal/>
    </border>
    <border>
      <left/>
      <right style="hair"/>
      <top style="medium"/>
      <bottom style="hair"/>
      <diagonal/>
    </border>
    <border>
      <left/>
      <right style="double">
        <color rgb="FF3F3F3F"/>
      </right>
      <top style="thin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 style="thin"/>
      <diagonal/>
    </border>
    <border>
      <left style="double"/>
      <right style="thin"/>
      <top/>
      <bottom/>
      <diagonal/>
    </border>
    <border>
      <left/>
      <right style="double"/>
      <top style="thin"/>
      <bottom/>
      <diagonal/>
    </border>
    <border>
      <left/>
      <right style="double"/>
      <top/>
      <bottom style="thin"/>
      <diagonal/>
    </border>
    <border>
      <left/>
      <right/>
      <top style="thin"/>
      <bottom style="double"/>
      <diagonal/>
    </border>
    <border>
      <left/>
      <right style="thin"/>
      <top style="thin"/>
      <bottom style="double"/>
      <diagonal/>
    </border>
  </borders>
  <cellStyleXfs count="15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5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164" fontId="8" fillId="0" borderId="0" applyAlignment="1">
      <alignment horizontal="general" vertical="bottom"/>
    </xf>
  </cellStyleXfs>
  <cellXfs count="2216">
    <xf numFmtId="0" fontId="0" fillId="0" borderId="0" applyAlignment="1" pivotButton="0" quotePrefix="0" xfId="0">
      <alignment horizontal="general" vertical="bottom"/>
    </xf>
    <xf numFmtId="164" fontId="4" fillId="2" borderId="0" applyAlignment="1" applyProtection="1" pivotButton="0" quotePrefix="0" xfId="28">
      <alignment horizontal="general" vertical="bottom"/>
      <protection locked="0" hidden="0"/>
    </xf>
    <xf numFmtId="164" fontId="9" fillId="2" borderId="0" applyAlignment="1" applyProtection="1" pivotButton="0" quotePrefix="0" xfId="28">
      <alignment horizontal="general" vertical="bottom"/>
      <protection locked="0" hidden="0"/>
    </xf>
    <xf numFmtId="164" fontId="10" fillId="2" borderId="0" applyAlignment="1" applyProtection="1" pivotButton="0" quotePrefix="0" xfId="28">
      <alignment horizontal="general" vertical="bottom"/>
      <protection locked="0" hidden="0"/>
    </xf>
    <xf numFmtId="165" fontId="10" fillId="2" borderId="0" applyAlignment="1" applyProtection="1" pivotButton="0" quotePrefix="0" xfId="28">
      <alignment horizontal="general" vertical="bottom"/>
      <protection locked="0" hidden="0"/>
    </xf>
    <xf numFmtId="0" fontId="11" fillId="3" borderId="1" applyAlignment="1" pivotButton="0" quotePrefix="0" xfId="0">
      <alignment horizontal="center" vertical="center"/>
    </xf>
    <xf numFmtId="0" fontId="12" fillId="2" borderId="0" applyAlignment="1" applyProtection="1" pivotButton="0" quotePrefix="0" xfId="0">
      <alignment horizontal="right" vertical="center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3" fillId="2" borderId="2" applyAlignment="1" pivotButton="0" quotePrefix="0" xfId="0">
      <alignment horizontal="center" vertical="center"/>
    </xf>
    <xf numFmtId="0" fontId="14" fillId="4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4" applyAlignment="1" applyProtection="1" pivotButton="0" quotePrefix="0" xfId="0">
      <alignment horizontal="center" vertical="center"/>
      <protection locked="0" hidden="0"/>
    </xf>
    <xf numFmtId="0" fontId="4" fillId="2" borderId="5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left" vertical="bottom" wrapText="1"/>
      <protection locked="0" hidden="0"/>
    </xf>
    <xf numFmtId="0" fontId="4" fillId="2" borderId="8" applyAlignment="1" pivotButton="0" quotePrefix="0" xfId="0">
      <alignment horizontal="center" vertical="bottom"/>
    </xf>
    <xf numFmtId="0" fontId="13" fillId="2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1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4" borderId="1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pivotButton="0" quotePrefix="0" xfId="0">
      <alignment horizontal="center" vertical="center" wrapText="1"/>
    </xf>
    <xf numFmtId="166" fontId="13" fillId="4" borderId="1" applyAlignment="1" applyProtection="1" pivotButton="0" quotePrefix="0" xfId="0">
      <alignment horizontal="center" vertical="center"/>
      <protection locked="0" hidden="0"/>
    </xf>
    <xf numFmtId="0" fontId="16" fillId="2" borderId="12" applyAlignment="1" pivotButton="0" quotePrefix="0" xfId="0">
      <alignment horizontal="left" vertical="center"/>
    </xf>
    <xf numFmtId="0" fontId="15" fillId="4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bottom"/>
    </xf>
    <xf numFmtId="0" fontId="15" fillId="2" borderId="1" applyAlignment="1" pivotButton="0" quotePrefix="0" xfId="0">
      <alignment horizontal="left" vertical="bottom"/>
    </xf>
    <xf numFmtId="0" fontId="15" fillId="2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center" vertical="bottom"/>
    </xf>
    <xf numFmtId="0" fontId="17" fillId="2" borderId="12" applyAlignment="1" pivotButton="0" quotePrefix="0" xfId="0">
      <alignment horizontal="left" vertical="bottom"/>
    </xf>
    <xf numFmtId="0" fontId="17" fillId="2" borderId="12" applyAlignment="1" pivotButton="0" quotePrefix="0" xfId="0">
      <alignment horizontal="center" vertical="bottom"/>
    </xf>
    <xf numFmtId="167" fontId="13" fillId="6" borderId="0" applyAlignment="1" pivotButton="0" quotePrefix="0" xfId="0">
      <alignment horizontal="center" vertical="bottom"/>
    </xf>
    <xf numFmtId="167" fontId="18" fillId="3" borderId="12" applyAlignment="1" pivotButton="0" quotePrefix="0" xfId="0">
      <alignment horizontal="center" vertical="center"/>
    </xf>
    <xf numFmtId="0" fontId="17" fillId="2" borderId="7" applyAlignment="1" pivotButton="0" quotePrefix="0" xfId="0">
      <alignment horizontal="left" vertical="bottom"/>
    </xf>
    <xf numFmtId="0" fontId="18" fillId="3" borderId="12" applyAlignment="1" pivotButton="0" quotePrefix="0" xfId="0">
      <alignment horizontal="center" vertical="center"/>
    </xf>
    <xf numFmtId="0" fontId="17" fillId="2" borderId="8" applyAlignment="1" pivotButton="0" quotePrefix="0" xfId="0">
      <alignment horizontal="left" vertical="bottom"/>
    </xf>
    <xf numFmtId="0" fontId="17" fillId="2" borderId="8" applyAlignment="1" pivotButton="0" quotePrefix="0" xfId="0">
      <alignment horizontal="center" vertical="bottom"/>
    </xf>
    <xf numFmtId="167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left" vertical="bottom"/>
    </xf>
    <xf numFmtId="0" fontId="18" fillId="3" borderId="8" applyAlignment="1" pivotButton="0" quotePrefix="0" xfId="0">
      <alignment horizontal="center" vertical="center"/>
    </xf>
    <xf numFmtId="1" fontId="18" fillId="3" borderId="8" applyAlignment="1" pivotButton="0" quotePrefix="0" xfId="0">
      <alignment horizontal="center" vertical="center"/>
    </xf>
    <xf numFmtId="0" fontId="10" fillId="2" borderId="0" applyAlignment="1" applyProtection="1" pivotButton="0" quotePrefix="0" xfId="0">
      <alignment horizontal="general" vertical="bottom"/>
      <protection locked="0" hidden="0"/>
    </xf>
    <xf numFmtId="0" fontId="19" fillId="2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165" fontId="19" fillId="2" borderId="0" applyAlignment="1" applyProtection="1" pivotButton="0" quotePrefix="0" xfId="0">
      <alignment horizontal="general" vertical="bottom"/>
      <protection locked="0" hidden="0"/>
    </xf>
    <xf numFmtId="0" fontId="20" fillId="2" borderId="0" applyAlignment="1" applyProtection="1" pivotButton="0" quotePrefix="0" xfId="0">
      <alignment horizontal="general" vertical="bottom"/>
      <protection locked="0" hidden="0"/>
    </xf>
    <xf numFmtId="0" fontId="17" fillId="2" borderId="0" applyAlignment="1" pivotButton="0" quotePrefix="0" xfId="0">
      <alignment horizontal="left" vertical="bottom"/>
    </xf>
    <xf numFmtId="0" fontId="21" fillId="5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2" fontId="19" fillId="2" borderId="0" applyAlignment="1" pivotButton="0" quotePrefix="0" xfId="0">
      <alignment horizontal="general" vertical="bottom"/>
    </xf>
    <xf numFmtId="165" fontId="19" fillId="2" borderId="0" applyAlignment="1" pivotButton="0" quotePrefix="0" xfId="0">
      <alignment horizontal="general" vertical="bottom"/>
    </xf>
    <xf numFmtId="0" fontId="22" fillId="0" borderId="1" applyAlignment="1" applyProtection="1" pivotButton="0" quotePrefix="0" xfId="0">
      <alignment horizontal="center" vertical="center"/>
      <protection locked="0" hidden="0"/>
    </xf>
    <xf numFmtId="9" fontId="18" fillId="3" borderId="8" applyAlignment="1" pivotButton="0" quotePrefix="0" xfId="0">
      <alignment horizontal="center" vertical="center"/>
    </xf>
    <xf numFmtId="0" fontId="17" fillId="2" borderId="4" applyAlignment="1" pivotButton="0" quotePrefix="0" xfId="0">
      <alignment horizontal="left" vertical="bottom"/>
    </xf>
    <xf numFmtId="0" fontId="17" fillId="2" borderId="4" applyAlignment="1" pivotButton="0" quotePrefix="0" xfId="0">
      <alignment horizontal="center" vertical="bottom"/>
    </xf>
    <xf numFmtId="0" fontId="18" fillId="3" borderId="4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left" vertical="bottom"/>
    </xf>
    <xf numFmtId="2" fontId="24" fillId="2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general" vertical="bottom"/>
    </xf>
    <xf numFmtId="0" fontId="17" fillId="2" borderId="9" applyAlignment="1" pivotButton="0" quotePrefix="0" xfId="0">
      <alignment horizontal="left" vertical="bottom"/>
    </xf>
    <xf numFmtId="0" fontId="21" fillId="5" borderId="5" applyAlignment="1" pivotButton="0" quotePrefix="0" xfId="0">
      <alignment horizontal="center" vertical="bottom"/>
    </xf>
    <xf numFmtId="0" fontId="21" fillId="5" borderId="6" applyAlignment="1" pivotButton="0" quotePrefix="0" xfId="0">
      <alignment horizontal="center" vertical="bottom"/>
    </xf>
    <xf numFmtId="0" fontId="21" fillId="5" borderId="7" applyAlignment="1" pivotButton="0" quotePrefix="0" xfId="0">
      <alignment horizontal="center" vertical="bottom"/>
    </xf>
    <xf numFmtId="165" fontId="10" fillId="2" borderId="0" applyAlignment="1" pivotButton="0" quotePrefix="0" xfId="0">
      <alignment horizontal="general" vertical="bottom"/>
    </xf>
    <xf numFmtId="0" fontId="22" fillId="0" borderId="12" applyAlignment="1" pivotButton="0" quotePrefix="0" xfId="0">
      <alignment horizontal="center" vertical="center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0" fontId="27" fillId="2" borderId="0" applyAlignment="1" applyProtection="1" pivotButton="0" quotePrefix="0" xfId="0">
      <alignment horizontal="general" vertical="bottom"/>
      <protection locked="0" hidden="0"/>
    </xf>
    <xf numFmtId="0" fontId="18" fillId="8" borderId="8" applyAlignment="1" pivotButton="0" quotePrefix="0" xfId="0">
      <alignment horizontal="center" vertical="center"/>
    </xf>
    <xf numFmtId="0" fontId="17" fillId="2" borderId="2" applyAlignment="1" pivotButton="0" quotePrefix="0" xfId="0">
      <alignment horizontal="left" vertical="bottom"/>
    </xf>
    <xf numFmtId="0" fontId="17" fillId="2" borderId="2" applyAlignment="1" pivotButton="0" quotePrefix="0" xfId="0">
      <alignment horizontal="center" vertical="bottom"/>
    </xf>
    <xf numFmtId="167" fontId="13" fillId="6" borderId="13" applyAlignment="1" pivotButton="0" quotePrefix="0" xfId="0">
      <alignment horizontal="center" vertical="bottom"/>
    </xf>
    <xf numFmtId="0" fontId="18" fillId="3" borderId="2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bottom"/>
    </xf>
    <xf numFmtId="0" fontId="4" fillId="2" borderId="1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12" fillId="5" borderId="2" applyAlignment="1" pivotButton="0" quotePrefix="0" xfId="0">
      <alignment horizontal="center" vertical="bottom"/>
    </xf>
    <xf numFmtId="0" fontId="13" fillId="2" borderId="1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28" fillId="2" borderId="0" applyAlignment="1" pivotButton="0" quotePrefix="0" xfId="0">
      <alignment horizontal="general" vertical="bottom"/>
    </xf>
    <xf numFmtId="164" fontId="13" fillId="0" borderId="15" applyAlignment="1" pivotButton="0" quotePrefix="0" xfId="0">
      <alignment horizontal="left" vertical="bottom"/>
    </xf>
    <xf numFmtId="168" fontId="29" fillId="0" borderId="15" applyAlignment="1" pivotButton="0" quotePrefix="0" xfId="0">
      <alignment horizontal="center" vertical="bottom"/>
    </xf>
    <xf numFmtId="0" fontId="13" fillId="6" borderId="16" applyAlignment="1" pivotButton="0" quotePrefix="0" xfId="0">
      <alignment horizontal="center" vertical="bottom"/>
    </xf>
    <xf numFmtId="167" fontId="13" fillId="6" borderId="15" applyAlignment="1" pivotButton="0" quotePrefix="0" xfId="0">
      <alignment horizontal="center" vertical="bottom"/>
    </xf>
    <xf numFmtId="167" fontId="13" fillId="6" borderId="17" applyAlignment="1" pivotButton="0" quotePrefix="0" xfId="0">
      <alignment horizontal="center" vertical="bottom"/>
    </xf>
    <xf numFmtId="0" fontId="13" fillId="6" borderId="18" applyAlignment="1" pivotButton="0" quotePrefix="0" xfId="0">
      <alignment horizontal="general" vertical="bottom"/>
    </xf>
    <xf numFmtId="1" fontId="13" fillId="4" borderId="15" applyAlignment="1" pivotButton="0" quotePrefix="0" xfId="0">
      <alignment horizontal="center" vertical="center"/>
    </xf>
    <xf numFmtId="1" fontId="13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165" fontId="30" fillId="2" borderId="0" applyAlignment="1" pivotButton="0" quotePrefix="0" xfId="0">
      <alignment horizontal="general" vertical="bottom"/>
    </xf>
    <xf numFmtId="169" fontId="19" fillId="2" borderId="0" applyAlignment="1" pivotButton="0" quotePrefix="0" xfId="0">
      <alignment horizontal="general" vertical="bottom"/>
    </xf>
    <xf numFmtId="169" fontId="27" fillId="2" borderId="0" applyAlignment="1" applyProtection="1" pivotButton="0" quotePrefix="0" xfId="0">
      <alignment horizontal="general" vertical="bottom"/>
      <protection locked="0" hidden="0"/>
    </xf>
    <xf numFmtId="170" fontId="29" fillId="0" borderId="15" applyAlignment="1" pivotButton="0" quotePrefix="0" xfId="0">
      <alignment horizontal="center" vertical="bottom"/>
    </xf>
    <xf numFmtId="167" fontId="13" fillId="6" borderId="19" applyAlignment="1" pivotButton="0" quotePrefix="0" xfId="0">
      <alignment horizontal="center" vertical="bottom"/>
    </xf>
    <xf numFmtId="0" fontId="13" fillId="6" borderId="20" applyAlignment="1" pivotButton="0" quotePrefix="0" xfId="0">
      <alignment horizontal="general" vertical="bottom"/>
    </xf>
    <xf numFmtId="167" fontId="13" fillId="6" borderId="16" applyAlignment="1" pivotButton="0" quotePrefix="0" xfId="0">
      <alignment horizontal="center" vertical="bottom"/>
    </xf>
    <xf numFmtId="167" fontId="13" fillId="6" borderId="21" applyAlignment="1" pivotButton="0" quotePrefix="0" xfId="0">
      <alignment horizontal="general" vertical="bottom"/>
    </xf>
    <xf numFmtId="167" fontId="29" fillId="0" borderId="15" applyAlignment="1" pivotButton="0" quotePrefix="0" xfId="0">
      <alignment horizontal="center" vertical="bottom"/>
    </xf>
    <xf numFmtId="164" fontId="29" fillId="0" borderId="15" applyAlignment="1" pivotButton="0" quotePrefix="0" xfId="0">
      <alignment horizontal="left" vertical="bottom"/>
    </xf>
    <xf numFmtId="0" fontId="13" fillId="6" borderId="21" applyAlignment="1" pivotButton="0" quotePrefix="0" xfId="0">
      <alignment horizontal="general" vertical="bottom"/>
    </xf>
    <xf numFmtId="164" fontId="13" fillId="0" borderId="22" applyAlignment="1" pivotButton="0" quotePrefix="0" xfId="0">
      <alignment horizontal="left" vertical="bottom"/>
    </xf>
    <xf numFmtId="167" fontId="29" fillId="0" borderId="22" applyAlignment="1" pivotButton="0" quotePrefix="0" xfId="0">
      <alignment horizontal="center" vertical="bottom"/>
    </xf>
    <xf numFmtId="0" fontId="13" fillId="6" borderId="23" applyAlignment="1" pivotButton="0" quotePrefix="0" xfId="0">
      <alignment horizontal="center" vertical="bottom"/>
    </xf>
    <xf numFmtId="0" fontId="13" fillId="6" borderId="24" applyAlignment="1" pivotButton="0" quotePrefix="0" xfId="0">
      <alignment horizontal="general" vertical="bottom"/>
    </xf>
    <xf numFmtId="1" fontId="13" fillId="4" borderId="22" applyAlignment="1" pivotButton="0" quotePrefix="0" xfId="0">
      <alignment horizontal="center" vertical="center"/>
    </xf>
    <xf numFmtId="164" fontId="13" fillId="2" borderId="5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164" fontId="13" fillId="6" borderId="12" applyAlignment="1" pivotButton="0" quotePrefix="0" xfId="0">
      <alignment horizontal="general" vertical="bottom"/>
    </xf>
    <xf numFmtId="167" fontId="13" fillId="6" borderId="7" applyAlignment="1" pivotButton="0" quotePrefix="0" xfId="0">
      <alignment horizontal="center" vertical="bottom"/>
    </xf>
    <xf numFmtId="0" fontId="13" fillId="6" borderId="5" applyAlignment="1" pivotButton="0" quotePrefix="0" xfId="0">
      <alignment horizontal="general" vertical="bottom"/>
    </xf>
    <xf numFmtId="0" fontId="13" fillId="6" borderId="7" applyAlignment="1" pivotButton="0" quotePrefix="0" xfId="0">
      <alignment horizontal="general" vertical="bottom"/>
    </xf>
    <xf numFmtId="164" fontId="13" fillId="2" borderId="1" applyAlignment="1" pivotButton="0" quotePrefix="0" xfId="0">
      <alignment horizontal="center" vertical="center"/>
    </xf>
    <xf numFmtId="167" fontId="13" fillId="2" borderId="3" applyAlignment="1" pivotButton="0" quotePrefix="0" xfId="0">
      <alignment horizontal="general" vertical="center"/>
    </xf>
    <xf numFmtId="164" fontId="13" fillId="2" borderId="11" applyAlignment="1" pivotButton="0" quotePrefix="0" xfId="0">
      <alignment horizontal="left" vertical="center"/>
    </xf>
    <xf numFmtId="164" fontId="13" fillId="2" borderId="7" applyAlignment="1" pivotButton="0" quotePrefix="0" xfId="0">
      <alignment horizontal="general" vertical="center"/>
    </xf>
    <xf numFmtId="169" fontId="27" fillId="0" borderId="0" applyAlignment="1" applyProtection="1" pivotButton="0" quotePrefix="0" xfId="0">
      <alignment horizontal="general" vertical="bottom"/>
      <protection locked="0" hidden="0"/>
    </xf>
    <xf numFmtId="164" fontId="12" fillId="5" borderId="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bottom"/>
    </xf>
    <xf numFmtId="0" fontId="13" fillId="0" borderId="26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center"/>
    </xf>
    <xf numFmtId="0" fontId="13" fillId="6" borderId="25" applyAlignment="1" pivotButton="0" quotePrefix="0" xfId="0">
      <alignment horizontal="center" vertical="bottom"/>
    </xf>
    <xf numFmtId="1" fontId="13" fillId="6" borderId="15" applyAlignment="1" pivotButton="0" quotePrefix="0" xfId="0">
      <alignment horizontal="center" vertical="bottom"/>
    </xf>
    <xf numFmtId="167" fontId="31" fillId="6" borderId="25" applyAlignment="1" pivotButton="0" quotePrefix="0" xfId="0">
      <alignment horizontal="center" vertical="bottom"/>
    </xf>
    <xf numFmtId="1" fontId="13" fillId="2" borderId="15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bottom"/>
    </xf>
    <xf numFmtId="169" fontId="32" fillId="2" borderId="0" applyAlignment="1" pivotButton="0" quotePrefix="0" xfId="0">
      <alignment horizontal="general" vertical="bottom"/>
    </xf>
    <xf numFmtId="0" fontId="13" fillId="0" borderId="15" applyAlignment="1" pivotButton="0" quotePrefix="0" xfId="0">
      <alignment horizontal="left" vertical="bottom"/>
    </xf>
    <xf numFmtId="0" fontId="13" fillId="0" borderId="15" applyAlignment="1" pivotButton="0" quotePrefix="0" xfId="0">
      <alignment horizontal="center" vertical="center"/>
    </xf>
    <xf numFmtId="0" fontId="13" fillId="6" borderId="15" applyAlignment="1" pivotButton="0" quotePrefix="0" xfId="0">
      <alignment horizontal="center" vertical="bottom"/>
    </xf>
    <xf numFmtId="0" fontId="13" fillId="0" borderId="22" applyAlignment="1" pivotButton="0" quotePrefix="0" xfId="0">
      <alignment horizontal="left" vertical="bottom"/>
    </xf>
    <xf numFmtId="0" fontId="13" fillId="0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bottom"/>
    </xf>
    <xf numFmtId="1" fontId="13" fillId="6" borderId="22" applyAlignment="1" pivotButton="0" quotePrefix="0" xfId="0">
      <alignment horizontal="center" vertical="bottom"/>
    </xf>
    <xf numFmtId="167" fontId="13" fillId="6" borderId="22" applyAlignment="1" pivotButton="0" quotePrefix="0" xfId="0">
      <alignment horizontal="center" vertical="bottom"/>
    </xf>
    <xf numFmtId="1" fontId="13" fillId="2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bottom"/>
    </xf>
    <xf numFmtId="0" fontId="13" fillId="0" borderId="26" applyAlignment="1" pivotButton="0" quotePrefix="0" xfId="0">
      <alignment horizontal="left" vertical="bottom"/>
    </xf>
    <xf numFmtId="0" fontId="13" fillId="6" borderId="26" applyAlignment="1" pivotButton="0" quotePrefix="0" xfId="0">
      <alignment horizontal="center" vertical="bottom"/>
    </xf>
    <xf numFmtId="1" fontId="13" fillId="6" borderId="26" applyAlignment="1" pivotButton="0" quotePrefix="0" xfId="0">
      <alignment horizontal="center" vertical="bottom"/>
    </xf>
    <xf numFmtId="167" fontId="13" fillId="6" borderId="26" applyAlignment="1" pivotButton="0" quotePrefix="0" xfId="0">
      <alignment horizontal="center" vertical="bottom"/>
    </xf>
    <xf numFmtId="1" fontId="13" fillId="2" borderId="26" applyAlignment="1" pivotButton="0" quotePrefix="0" xfId="0">
      <alignment horizontal="center" vertical="center"/>
    </xf>
    <xf numFmtId="167" fontId="13" fillId="0" borderId="26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center" vertical="center"/>
    </xf>
    <xf numFmtId="167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top"/>
    </xf>
    <xf numFmtId="1" fontId="13" fillId="0" borderId="20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bottom"/>
    </xf>
    <xf numFmtId="167" fontId="13" fillId="9" borderId="9" applyAlignment="1" pivotButton="0" quotePrefix="0" xfId="0">
      <alignment horizontal="center" vertical="bottom"/>
    </xf>
    <xf numFmtId="0" fontId="13" fillId="0" borderId="2" applyAlignment="1" pivotButton="0" quotePrefix="0" xfId="0">
      <alignment horizontal="left" vertical="bottom"/>
    </xf>
    <xf numFmtId="1" fontId="13" fillId="0" borderId="4" applyAlignment="1" pivotButton="0" quotePrefix="0" xfId="0">
      <alignment horizontal="center" vertical="center"/>
    </xf>
    <xf numFmtId="167" fontId="13" fillId="2" borderId="9" applyAlignment="1" pivotButton="0" quotePrefix="0" xfId="0">
      <alignment horizontal="center" vertical="bottom"/>
    </xf>
    <xf numFmtId="1" fontId="10" fillId="2" borderId="0" applyAlignment="1" pivotButton="0" quotePrefix="0" xfId="0">
      <alignment horizontal="general" vertical="bottom"/>
    </xf>
    <xf numFmtId="0" fontId="13" fillId="9" borderId="9" applyAlignment="1" pivotButton="0" quotePrefix="0" xfId="0">
      <alignment horizontal="center" vertical="bottom"/>
    </xf>
    <xf numFmtId="167" fontId="13" fillId="0" borderId="20" applyAlignment="1" pivotButton="0" quotePrefix="0" xfId="0">
      <alignment horizontal="center" vertical="center"/>
    </xf>
    <xf numFmtId="0" fontId="20" fillId="2" borderId="12" applyAlignment="1" pivotButton="0" quotePrefix="0" xfId="0">
      <alignment horizontal="center" vertical="bottom"/>
    </xf>
    <xf numFmtId="0" fontId="13" fillId="2" borderId="9" applyAlignment="1" pivotButton="0" quotePrefix="0" xfId="0">
      <alignment horizontal="left" vertical="bottom"/>
    </xf>
    <xf numFmtId="0" fontId="13" fillId="2" borderId="7" applyAlignment="1" pivotButton="0" quotePrefix="0" xfId="0">
      <alignment horizontal="center" vertical="bottom"/>
    </xf>
    <xf numFmtId="0" fontId="13" fillId="6" borderId="12" applyAlignment="1" pivotButton="0" quotePrefix="0" xfId="0">
      <alignment horizontal="left" vertical="bottom"/>
    </xf>
    <xf numFmtId="2" fontId="13" fillId="6" borderId="5" applyAlignment="1" pivotButton="0" quotePrefix="0" xfId="0">
      <alignment horizontal="general" vertical="bottom"/>
    </xf>
    <xf numFmtId="167" fontId="13" fillId="6" borderId="6" applyAlignment="1" pivotButton="0" quotePrefix="0" xfId="0">
      <alignment horizontal="general" vertical="bottom"/>
    </xf>
    <xf numFmtId="167" fontId="13" fillId="0" borderId="12" applyAlignment="1" pivotButton="0" quotePrefix="0" xfId="0">
      <alignment horizontal="center" vertical="bottom"/>
    </xf>
    <xf numFmtId="167" fontId="13" fillId="0" borderId="7" applyAlignment="1" pivotButton="0" quotePrefix="0" xfId="0">
      <alignment horizontal="center" vertical="bottom"/>
    </xf>
    <xf numFmtId="0" fontId="9" fillId="2" borderId="14" applyAlignment="1" pivotButton="0" quotePrefix="0" xfId="0">
      <alignment horizontal="general" vertical="bottom"/>
    </xf>
    <xf numFmtId="0" fontId="10" fillId="2" borderId="4" applyAlignment="1" pivotButton="0" quotePrefix="0" xfId="0">
      <alignment horizontal="general" vertical="bottom"/>
    </xf>
    <xf numFmtId="164" fontId="33" fillId="5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bottom"/>
    </xf>
    <xf numFmtId="0" fontId="13" fillId="2" borderId="17" applyAlignment="1" pivotButton="0" quotePrefix="0" xfId="0">
      <alignment horizontal="general" vertical="bottom"/>
    </xf>
    <xf numFmtId="0" fontId="13" fillId="2" borderId="2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1" fontId="13" fillId="0" borderId="25" applyAlignment="1" pivotButton="0" quotePrefix="0" xfId="0">
      <alignment horizontal="center" vertical="bottom"/>
    </xf>
    <xf numFmtId="0" fontId="13" fillId="2" borderId="25" applyAlignment="1" pivotButton="0" quotePrefix="0" xfId="0">
      <alignment horizontal="left" vertical="bottom"/>
    </xf>
    <xf numFmtId="0" fontId="13" fillId="2" borderId="15" applyAlignment="1" pivotButton="0" quotePrefix="0" xfId="0">
      <alignment horizontal="left" vertical="bottom"/>
    </xf>
    <xf numFmtId="0" fontId="13" fillId="2" borderId="22" applyAlignment="1" pivotButton="0" quotePrefix="0" xfId="0">
      <alignment horizontal="left" vertical="bottom"/>
    </xf>
    <xf numFmtId="164" fontId="34" fillId="5" borderId="2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bottom"/>
    </xf>
    <xf numFmtId="0" fontId="17" fillId="10" borderId="3" applyAlignment="1" pivotButton="0" quotePrefix="0" xfId="0">
      <alignment horizontal="center" vertical="bottom"/>
    </xf>
    <xf numFmtId="0" fontId="17" fillId="10" borderId="11" applyAlignment="1" pivotButton="0" quotePrefix="0" xfId="0">
      <alignment horizontal="center" vertical="bottom"/>
    </xf>
    <xf numFmtId="0" fontId="17" fillId="10" borderId="2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center"/>
    </xf>
    <xf numFmtId="2" fontId="29" fillId="0" borderId="28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center"/>
    </xf>
    <xf numFmtId="1" fontId="17" fillId="4" borderId="15" applyAlignment="1" pivotButton="0" quotePrefix="0" xfId="0">
      <alignment horizontal="center" vertical="bottom"/>
    </xf>
    <xf numFmtId="2" fontId="29" fillId="0" borderId="15" applyAlignment="1" pivotButton="0" quotePrefix="0" xfId="0">
      <alignment horizontal="center" vertical="center"/>
    </xf>
    <xf numFmtId="2" fontId="17" fillId="0" borderId="15" applyAlignment="1" pivotButton="0" quotePrefix="0" xfId="0">
      <alignment horizontal="center" vertical="center"/>
    </xf>
    <xf numFmtId="2" fontId="13" fillId="0" borderId="22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bottom"/>
    </xf>
    <xf numFmtId="0" fontId="13" fillId="10" borderId="1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center" vertical="bottom"/>
    </xf>
    <xf numFmtId="0" fontId="13" fillId="10" borderId="2" applyAlignment="1" pivotButton="0" quotePrefix="0" xfId="0">
      <alignment horizontal="center" vertical="bottom"/>
    </xf>
    <xf numFmtId="0" fontId="13" fillId="0" borderId="17" applyAlignment="1" pivotButton="0" quotePrefix="0" xfId="0">
      <alignment horizontal="left" vertical="bottom"/>
    </xf>
    <xf numFmtId="1" fontId="13" fillId="0" borderId="18" applyAlignment="1" pivotButton="0" quotePrefix="0" xfId="0">
      <alignment horizontal="center" vertical="center"/>
    </xf>
    <xf numFmtId="1" fontId="17" fillId="0" borderId="25" applyAlignment="1" pivotButton="0" quotePrefix="0" xfId="0">
      <alignment horizontal="center" vertical="bottom"/>
    </xf>
    <xf numFmtId="0" fontId="13" fillId="0" borderId="25" applyAlignment="1" pivotButton="0" quotePrefix="0" xfId="0">
      <alignment horizontal="center" vertical="bottom"/>
    </xf>
    <xf numFmtId="1" fontId="13" fillId="4" borderId="25" applyAlignment="1" pivotButton="0" quotePrefix="0" xfId="0">
      <alignment horizontal="center" vertical="bottom"/>
    </xf>
    <xf numFmtId="0" fontId="13" fillId="0" borderId="22" applyAlignment="1" pivotButton="0" quotePrefix="0" xfId="0">
      <alignment horizontal="center" vertical="bottom"/>
    </xf>
    <xf numFmtId="1" fontId="13" fillId="4" borderId="22" applyAlignment="1" pivotButton="0" quotePrefix="0" xfId="0">
      <alignment horizontal="center" vertical="bottom"/>
    </xf>
    <xf numFmtId="164" fontId="34" fillId="5" borderId="1" applyAlignment="1" pivotButton="0" quotePrefix="0" xfId="0">
      <alignment horizontal="center" vertical="center"/>
    </xf>
    <xf numFmtId="2" fontId="13" fillId="0" borderId="28" applyAlignment="1" pivotButton="0" quotePrefix="0" xfId="0">
      <alignment horizontal="left" vertical="center"/>
    </xf>
    <xf numFmtId="1" fontId="17" fillId="4" borderId="25" applyAlignment="1" pivotButton="0" quotePrefix="0" xfId="0">
      <alignment horizontal="center" vertical="bottom"/>
    </xf>
    <xf numFmtId="165" fontId="32" fillId="2" borderId="0" applyAlignment="1" pivotButton="0" quotePrefix="0" xfId="0">
      <alignment horizontal="general" vertical="bottom"/>
    </xf>
    <xf numFmtId="0" fontId="13" fillId="0" borderId="22" applyAlignment="1" pivotButton="0" quotePrefix="0" xfId="0">
      <alignment horizontal="left" vertical="center"/>
    </xf>
    <xf numFmtId="1" fontId="17" fillId="4" borderId="22" applyAlignment="1" pivotButton="0" quotePrefix="0" xfId="0">
      <alignment horizontal="center" vertical="bottom"/>
    </xf>
    <xf numFmtId="164" fontId="34" fillId="5" borderId="1" applyAlignment="1" applyProtection="1" pivotButton="0" quotePrefix="0" xfId="0">
      <alignment horizontal="center" vertical="center"/>
      <protection locked="0" hidden="0"/>
    </xf>
    <xf numFmtId="0" fontId="35" fillId="2" borderId="0" applyAlignment="1" applyProtection="1" pivotButton="0" quotePrefix="0" xfId="0">
      <alignment horizontal="general" vertical="bottom"/>
      <protection locked="0" hidden="0"/>
    </xf>
    <xf numFmtId="0" fontId="36" fillId="2" borderId="0" applyAlignment="1" applyProtection="1" pivotButton="0" quotePrefix="0" xfId="0">
      <alignment horizontal="general" vertical="bottom"/>
      <protection locked="0" hidden="0"/>
    </xf>
    <xf numFmtId="0" fontId="37" fillId="2" borderId="0" applyAlignment="1" applyProtection="1" pivotButton="0" quotePrefix="0" xfId="0">
      <alignment horizontal="general" vertical="bottom"/>
      <protection locked="0" hidden="0"/>
    </xf>
    <xf numFmtId="0" fontId="0" fillId="2" borderId="0" applyAlignment="1" applyProtection="1" pivotButton="0" quotePrefix="0" xfId="0">
      <alignment horizontal="general" vertical="bottom"/>
      <protection locked="0" hidden="0"/>
    </xf>
    <xf numFmtId="164" fontId="33" fillId="4" borderId="3" applyAlignment="1" applyProtection="1" pivotButton="0" quotePrefix="0" xfId="0">
      <alignment horizontal="center" vertical="center"/>
      <protection locked="0" hidden="0"/>
    </xf>
    <xf numFmtId="164" fontId="33" fillId="4" borderId="29" applyAlignment="1" applyProtection="1" pivotButton="0" quotePrefix="0" xfId="0">
      <alignment horizontal="center" vertical="center"/>
      <protection locked="0" hidden="0"/>
    </xf>
    <xf numFmtId="164" fontId="33" fillId="4" borderId="11" applyAlignment="1" applyProtection="1" pivotButton="0" quotePrefix="0" xfId="0">
      <alignment horizontal="center" vertical="center"/>
      <protection locked="0" hidden="0"/>
    </xf>
    <xf numFmtId="164" fontId="33" fillId="10" borderId="5" applyAlignment="1" applyProtection="1" pivotButton="0" quotePrefix="0" xfId="0">
      <alignment horizontal="center" vertical="center"/>
      <protection locked="0" hidden="0"/>
    </xf>
    <xf numFmtId="164" fontId="33" fillId="10" borderId="6" applyAlignment="1" applyProtection="1" pivotButton="0" quotePrefix="0" xfId="0">
      <alignment horizontal="center" vertical="center"/>
      <protection locked="0" hidden="0"/>
    </xf>
    <xf numFmtId="164" fontId="33" fillId="10" borderId="7" applyAlignment="1" applyProtection="1" pivotButton="0" quotePrefix="0" xfId="0">
      <alignment horizontal="center" vertical="center"/>
      <protection locked="0" hidden="0"/>
    </xf>
    <xf numFmtId="164" fontId="33" fillId="10" borderId="0" applyAlignment="1" applyProtection="1" pivotButton="0" quotePrefix="0" xfId="0">
      <alignment horizontal="center" vertical="center"/>
      <protection locked="0" hidden="0"/>
    </xf>
    <xf numFmtId="167" fontId="33" fillId="10" borderId="0" applyAlignment="1" applyProtection="1" pivotButton="0" quotePrefix="0" xfId="0">
      <alignment horizontal="center" vertical="center"/>
      <protection locked="0" hidden="0"/>
    </xf>
    <xf numFmtId="164" fontId="33" fillId="10" borderId="10" applyAlignment="1" applyProtection="1" pivotButton="0" quotePrefix="0" xfId="0">
      <alignment horizontal="center" vertical="center"/>
      <protection locked="0" hidden="0"/>
    </xf>
    <xf numFmtId="0" fontId="13" fillId="10" borderId="2" applyAlignment="1" applyProtection="1" pivotButton="0" quotePrefix="0" xfId="0">
      <alignment horizontal="center" vertical="center"/>
      <protection locked="0" hidden="0"/>
    </xf>
    <xf numFmtId="0" fontId="34" fillId="5" borderId="1" applyAlignment="1" pivotButton="0" quotePrefix="0" xfId="0">
      <alignment horizontal="center" vertical="bottom"/>
    </xf>
    <xf numFmtId="0" fontId="13" fillId="10" borderId="3" applyAlignment="1" pivotButton="0" quotePrefix="0" xfId="0">
      <alignment horizontal="general" vertical="bottom"/>
    </xf>
    <xf numFmtId="0" fontId="13" fillId="10" borderId="29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27" fillId="0" borderId="0" applyAlignment="1" applyProtection="1" pivotButton="0" quotePrefix="0" xfId="0">
      <alignment horizontal="general" vertical="bottom"/>
      <protection locked="0" hidden="0"/>
    </xf>
    <xf numFmtId="0" fontId="13" fillId="2" borderId="25" applyAlignment="1" pivotButton="0" quotePrefix="0" xfId="0">
      <alignment horizontal="center" vertical="bottom"/>
    </xf>
    <xf numFmtId="171" fontId="31" fillId="0" borderId="25" applyAlignment="1" pivotButton="0" quotePrefix="0" xfId="0">
      <alignment horizontal="center" vertical="bottom"/>
    </xf>
    <xf numFmtId="0" fontId="13" fillId="0" borderId="15" applyAlignment="1" pivotButton="0" quotePrefix="0" xfId="0">
      <alignment horizontal="center" vertical="bottom"/>
    </xf>
    <xf numFmtId="171" fontId="31" fillId="0" borderId="15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4" fontId="4" fillId="2" borderId="30" applyAlignment="1" pivotButton="0" quotePrefix="0" xfId="28">
      <alignment horizontal="general" vertical="center" wrapText="1"/>
    </xf>
    <xf numFmtId="164" fontId="4" fillId="2" borderId="0" applyAlignment="1" pivotButton="0" quotePrefix="0" xfId="28">
      <alignment horizontal="general" vertical="bottom"/>
    </xf>
    <xf numFmtId="164" fontId="20" fillId="0" borderId="0" applyAlignment="1" pivotButton="0" quotePrefix="0" xfId="28">
      <alignment horizontal="general" vertical="bottom"/>
    </xf>
    <xf numFmtId="164" fontId="4" fillId="0" borderId="0" applyAlignment="1" pivotButton="0" quotePrefix="0" xfId="28">
      <alignment horizontal="general" vertical="bottom"/>
    </xf>
    <xf numFmtId="0" fontId="39" fillId="2" borderId="8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21" fillId="5" borderId="1" applyAlignment="1" applyProtection="1" pivotButton="0" quotePrefix="0" xfId="0">
      <alignment horizontal="center" vertical="bottom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40" fillId="0" borderId="1" applyAlignment="1" applyProtection="1" pivotButton="0" quotePrefix="0" xfId="0">
      <alignment horizontal="center" vertical="center"/>
      <protection locked="0" hidden="0"/>
    </xf>
    <xf numFmtId="0" fontId="13" fillId="2" borderId="13" applyAlignment="1" pivotButton="0" quotePrefix="0" xfId="0">
      <alignment horizontal="left" vertical="center"/>
    </xf>
    <xf numFmtId="0" fontId="41" fillId="4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7" fillId="2" borderId="14" applyAlignment="1" applyProtection="1" pivotButton="0" quotePrefix="0" xfId="0">
      <alignment horizontal="left" vertical="center"/>
      <protection locked="0" hidden="0"/>
    </xf>
    <xf numFmtId="0" fontId="17" fillId="2" borderId="2" applyAlignment="1" applyProtection="1" pivotButton="0" quotePrefix="0" xfId="0">
      <alignment horizontal="center" vertical="bottom"/>
      <protection locked="0" hidden="0"/>
    </xf>
    <xf numFmtId="0" fontId="27" fillId="2" borderId="5" applyAlignment="1" applyProtection="1" pivotButton="0" quotePrefix="0" xfId="0">
      <alignment horizontal="left" vertical="center"/>
      <protection locked="0" hidden="0"/>
    </xf>
    <xf numFmtId="0" fontId="17" fillId="4" borderId="12" applyAlignment="1" applyProtection="1" pivotButton="0" quotePrefix="0" xfId="0">
      <alignment horizontal="center" vertical="center"/>
      <protection locked="0" hidden="0"/>
    </xf>
    <xf numFmtId="0" fontId="17" fillId="4" borderId="6" applyAlignment="1" applyProtection="1" pivotButton="0" quotePrefix="0" xfId="0">
      <alignment horizontal="center" vertical="center"/>
      <protection locked="0" hidden="0"/>
    </xf>
    <xf numFmtId="0" fontId="17" fillId="4" borderId="7" applyAlignment="1" applyProtection="1" pivotButton="0" quotePrefix="0" xfId="0">
      <alignment horizontal="center" vertical="center"/>
      <protection locked="0" hidden="0"/>
    </xf>
    <xf numFmtId="0" fontId="1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3" fillId="4" borderId="4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166" fontId="4" fillId="4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applyProtection="1" pivotButton="0" quotePrefix="0" xfId="0">
      <alignment horizontal="left" vertical="center"/>
      <protection locked="0" hidden="0"/>
    </xf>
    <xf numFmtId="0" fontId="17" fillId="4" borderId="31" applyAlignment="1" applyProtection="1" pivotButton="0" quotePrefix="0" xfId="0">
      <alignment horizontal="center" vertical="bottom"/>
      <protection locked="0" hidden="0"/>
    </xf>
    <xf numFmtId="0" fontId="17" fillId="4" borderId="32" applyAlignment="1" applyProtection="1" pivotButton="0" quotePrefix="0" xfId="0">
      <alignment horizontal="center" vertical="bottom"/>
      <protection locked="0" hidden="0"/>
    </xf>
    <xf numFmtId="0" fontId="17" fillId="4" borderId="33" applyAlignment="1" applyProtection="1" pivotButton="0" quotePrefix="0" xfId="0">
      <alignment horizontal="center" vertical="bottom"/>
      <protection locked="0" hidden="0"/>
    </xf>
    <xf numFmtId="0" fontId="17" fillId="4" borderId="34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left" vertical="bottom"/>
      <protection locked="0" hidden="0"/>
    </xf>
    <xf numFmtId="172" fontId="17" fillId="4" borderId="35" applyAlignment="1" applyProtection="1" pivotButton="0" quotePrefix="0" xfId="0">
      <alignment horizontal="center" vertical="center"/>
      <protection locked="0" hidden="0"/>
    </xf>
    <xf numFmtId="0" fontId="7" fillId="6" borderId="2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center"/>
      <protection locked="0" hidden="0"/>
    </xf>
    <xf numFmtId="0" fontId="17" fillId="6" borderId="3" applyAlignment="1" applyProtection="1" pivotButton="0" quotePrefix="0" xfId="0">
      <alignment horizontal="center" vertical="bottom"/>
      <protection locked="0" hidden="0"/>
    </xf>
    <xf numFmtId="0" fontId="17" fillId="6" borderId="29" applyAlignment="1" applyProtection="1" pivotButton="0" quotePrefix="0" xfId="0">
      <alignment horizontal="center" vertical="bottom"/>
      <protection locked="0" hidden="0"/>
    </xf>
    <xf numFmtId="0" fontId="17" fillId="6" borderId="11" applyAlignment="1" applyProtection="1" pivotButton="0" quotePrefix="0" xfId="0">
      <alignment horizontal="center" vertical="bottom"/>
      <protection locked="0" hidden="0"/>
    </xf>
    <xf numFmtId="0" fontId="4" fillId="2" borderId="1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general" vertical="bottom"/>
    </xf>
    <xf numFmtId="0" fontId="4" fillId="2" borderId="12" applyAlignment="1" pivotButton="0" quotePrefix="0" xfId="0">
      <alignment horizontal="left" vertical="bottom"/>
    </xf>
    <xf numFmtId="167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general" vertical="center"/>
    </xf>
    <xf numFmtId="0" fontId="27" fillId="2" borderId="5" applyAlignment="1" applyProtection="1" pivotButton="0" quotePrefix="0" xfId="0">
      <alignment horizontal="general" vertical="bottom"/>
      <protection locked="0" hidden="0"/>
    </xf>
    <xf numFmtId="167" fontId="17" fillId="4" borderId="5" applyAlignment="1" applyProtection="1" pivotButton="0" quotePrefix="0" xfId="0">
      <alignment horizontal="center" vertical="bottom"/>
      <protection locked="0" hidden="0"/>
    </xf>
    <xf numFmtId="0" fontId="17" fillId="4" borderId="7" applyAlignment="1" applyProtection="1" pivotButton="0" quotePrefix="0" xfId="0">
      <alignment horizontal="general" vertical="bottom"/>
      <protection locked="0" hidden="0"/>
    </xf>
    <xf numFmtId="167" fontId="17" fillId="4" borderId="6" applyAlignment="1" applyProtection="1" pivotButton="0" quotePrefix="0" xfId="0">
      <alignment horizontal="center" vertical="bottom"/>
      <protection locked="0" hidden="0"/>
    </xf>
    <xf numFmtId="0" fontId="27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bottom"/>
    </xf>
    <xf numFmtId="167" fontId="4" fillId="2" borderId="28" applyAlignment="1" pivotButton="0" quotePrefix="0" xfId="0">
      <alignment horizontal="center" vertical="center"/>
    </xf>
    <xf numFmtId="0" fontId="4" fillId="2" borderId="21" applyAlignment="1" pivotButton="0" quotePrefix="0" xfId="0">
      <alignment horizontal="general" vertical="center"/>
    </xf>
    <xf numFmtId="164" fontId="27" fillId="2" borderId="9" applyAlignment="1" applyProtection="1" pivotButton="0" quotePrefix="0" xfId="0">
      <alignment horizontal="general" vertical="bottom"/>
      <protection locked="0" hidden="0"/>
    </xf>
    <xf numFmtId="2" fontId="17" fillId="2" borderId="36" applyAlignment="1" applyProtection="1" pivotButton="0" quotePrefix="0" xfId="0">
      <alignment horizontal="center" vertical="center"/>
      <protection locked="0" hidden="0"/>
    </xf>
    <xf numFmtId="2" fontId="17" fillId="2" borderId="37" applyAlignment="1" applyProtection="1" pivotButton="0" quotePrefix="0" xfId="0">
      <alignment horizontal="center" vertical="center"/>
      <protection locked="0" hidden="0"/>
    </xf>
    <xf numFmtId="0" fontId="4" fillId="2" borderId="8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general" vertical="bottom"/>
    </xf>
    <xf numFmtId="164" fontId="4" fillId="2" borderId="21" applyAlignment="1" pivotButton="0" quotePrefix="0" xfId="0">
      <alignment horizontal="left" vertical="center"/>
    </xf>
    <xf numFmtId="164" fontId="27" fillId="0" borderId="9" applyAlignment="1" applyProtection="1" pivotButton="0" quotePrefix="0" xfId="0">
      <alignment horizontal="general" vertical="bottom"/>
      <protection locked="0" hidden="0"/>
    </xf>
    <xf numFmtId="167" fontId="17" fillId="4" borderId="36" applyAlignment="1" applyProtection="1" pivotButton="0" quotePrefix="0" xfId="0">
      <alignment horizontal="center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/>
      <protection locked="0" hidden="0"/>
    </xf>
    <xf numFmtId="0" fontId="17" fillId="4" borderId="38" applyAlignment="1" applyProtection="1" pivotButton="0" quotePrefix="0" xfId="0">
      <alignment horizontal="left" vertical="bottom"/>
      <protection locked="0" hidden="0"/>
    </xf>
    <xf numFmtId="0" fontId="4" fillId="2" borderId="15" applyAlignment="1" pivotButton="0" quotePrefix="0" xfId="0">
      <alignment horizontal="center" vertical="bottom"/>
    </xf>
    <xf numFmtId="2" fontId="4" fillId="2" borderId="15" applyAlignment="1" pivotButton="0" quotePrefix="0" xfId="0">
      <alignment horizontal="center" vertical="center"/>
    </xf>
    <xf numFmtId="170" fontId="17" fillId="2" borderId="36" applyAlignment="1" applyProtection="1" pivotButton="0" quotePrefix="0" xfId="0">
      <alignment horizontal="center" vertical="center"/>
      <protection locked="0" hidden="0"/>
    </xf>
    <xf numFmtId="2" fontId="13" fillId="2" borderId="37" applyAlignment="1" applyProtection="1" pivotButton="0" quotePrefix="0" xfId="0">
      <alignment horizontal="center" vertical="center"/>
      <protection locked="0" hidden="0"/>
    </xf>
    <xf numFmtId="2" fontId="27" fillId="2" borderId="15" applyAlignment="1" pivotButton="0" quotePrefix="0" xfId="0">
      <alignment horizontal="left" vertical="center" indent="4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4" fillId="2" borderId="9" applyAlignment="1" applyProtection="1" pivotButton="0" quotePrefix="0" xfId="0">
      <alignment horizontal="left" vertical="bottom"/>
      <protection locked="0" hidden="0"/>
    </xf>
    <xf numFmtId="164" fontId="17" fillId="2" borderId="39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14" applyAlignment="1" applyProtection="1" pivotButton="0" quotePrefix="0" xfId="0">
      <alignment horizontal="left" vertical="bottom"/>
      <protection locked="0" hidden="0"/>
    </xf>
    <xf numFmtId="167" fontId="17" fillId="4" borderId="40" applyAlignment="1" applyProtection="1" pivotButton="0" quotePrefix="0" xfId="0">
      <alignment horizontal="center" vertical="bottom"/>
      <protection locked="0" hidden="0"/>
    </xf>
    <xf numFmtId="0" fontId="13" fillId="4" borderId="41" applyAlignment="1" applyProtection="1" pivotButton="0" quotePrefix="0" xfId="0">
      <alignment horizontal="general" vertical="bottom"/>
      <protection locked="0" hidden="0"/>
    </xf>
    <xf numFmtId="0" fontId="4" fillId="2" borderId="9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bottom"/>
    </xf>
    <xf numFmtId="167" fontId="4" fillId="2" borderId="30" applyAlignment="1" pivotButton="0" quotePrefix="0" xfId="0">
      <alignment horizontal="center" vertical="center"/>
    </xf>
    <xf numFmtId="0" fontId="27" fillId="2" borderId="24" applyAlignment="1" pivotButton="0" quotePrefix="0" xfId="0">
      <alignment horizontal="general" vertical="center"/>
    </xf>
    <xf numFmtId="0" fontId="17" fillId="6" borderId="3" applyAlignment="1" applyProtection="1" pivotButton="0" quotePrefix="0" xfId="0">
      <alignment horizontal="center" vertical="center"/>
      <protection locked="0" hidden="0"/>
    </xf>
    <xf numFmtId="0" fontId="17" fillId="6" borderId="29" applyAlignment="1" applyProtection="1" pivotButton="0" quotePrefix="0" xfId="0">
      <alignment horizontal="center" vertical="center"/>
      <protection locked="0" hidden="0"/>
    </xf>
    <xf numFmtId="0" fontId="17" fillId="6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27" fillId="2" borderId="10" applyAlignment="1" pivotButton="0" quotePrefix="0" xfId="0">
      <alignment horizontal="left" vertical="center"/>
    </xf>
    <xf numFmtId="167" fontId="27" fillId="2" borderId="28" applyAlignment="1" pivotButton="0" quotePrefix="0" xfId="0">
      <alignment horizontal="center" vertical="center"/>
    </xf>
    <xf numFmtId="167" fontId="17" fillId="2" borderId="42" applyAlignment="1" applyProtection="1" pivotButton="0" quotePrefix="0" xfId="0">
      <alignment horizontal="center" vertical="bottom"/>
      <protection locked="0" hidden="0"/>
    </xf>
    <xf numFmtId="0" fontId="17" fillId="2" borderId="43" applyAlignment="1" applyProtection="1" pivotButton="0" quotePrefix="0" xfId="0">
      <alignment horizontal="general" vertical="bottom"/>
      <protection locked="0" hidden="0"/>
    </xf>
    <xf numFmtId="0" fontId="17" fillId="2" borderId="42" applyAlignment="1" applyProtection="1" pivotButton="0" quotePrefix="0" xfId="0">
      <alignment horizontal="center" vertical="bottom"/>
      <protection locked="0" hidden="0"/>
    </xf>
    <xf numFmtId="167" fontId="17" fillId="2" borderId="36" applyAlignment="1" applyProtection="1" pivotButton="0" quotePrefix="0" xfId="0">
      <alignment horizontal="center" vertical="bottom"/>
      <protection locked="0" hidden="0"/>
    </xf>
    <xf numFmtId="0" fontId="17" fillId="2" borderId="37" applyAlignment="1" applyProtection="1" pivotButton="0" quotePrefix="0" xfId="0">
      <alignment horizontal="general" vertical="bottom"/>
      <protection locked="0" hidden="0"/>
    </xf>
    <xf numFmtId="0" fontId="17" fillId="2" borderId="36" applyAlignment="1" applyProtection="1" pivotButton="0" quotePrefix="0" xfId="0">
      <alignment horizontal="center" vertical="bottom"/>
      <protection locked="0" hidden="0"/>
    </xf>
    <xf numFmtId="167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general" vertical="bottom"/>
      <protection locked="0" hidden="0"/>
    </xf>
    <xf numFmtId="0" fontId="4" fillId="2" borderId="24" applyAlignment="1" pivotButton="0" quotePrefix="0" xfId="0">
      <alignment horizontal="general" vertical="center"/>
    </xf>
    <xf numFmtId="0" fontId="27" fillId="2" borderId="0" applyAlignment="1" applyProtection="1" pivotButton="0" quotePrefix="0" xfId="0">
      <alignment horizontal="left" vertical="center"/>
      <protection locked="0" hidden="0"/>
    </xf>
    <xf numFmtId="2" fontId="17" fillId="4" borderId="45" applyAlignment="1" applyProtection="1" pivotButton="0" quotePrefix="0" xfId="0">
      <alignment horizontal="center" vertical="bottom"/>
      <protection locked="0" hidden="0"/>
    </xf>
    <xf numFmtId="2" fontId="17" fillId="4" borderId="10" applyAlignment="1" applyProtection="1" pivotButton="0" quotePrefix="0" xfId="0">
      <alignment horizontal="general" vertical="bottom"/>
      <protection locked="0" hidden="0"/>
    </xf>
    <xf numFmtId="2" fontId="17" fillId="4" borderId="37" applyAlignment="1" applyProtection="1" pivotButton="0" quotePrefix="0" xfId="0">
      <alignment horizontal="general" vertical="bottom"/>
      <protection locked="0" hidden="0"/>
    </xf>
    <xf numFmtId="0" fontId="4" fillId="6" borderId="1" applyAlignment="1" pivotButton="0" quotePrefix="0" xfId="0">
      <alignment horizontal="center" vertical="center"/>
    </xf>
    <xf numFmtId="164" fontId="27" fillId="2" borderId="14" applyAlignment="1" applyProtection="1" pivotButton="0" quotePrefix="0" xfId="0">
      <alignment horizontal="left" vertical="center"/>
      <protection locked="0" hidden="0"/>
    </xf>
    <xf numFmtId="1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41" applyAlignment="1" applyProtection="1" pivotButton="0" quotePrefix="0" xfId="0">
      <alignment horizontal="general" vertical="bottom"/>
      <protection locked="0" hidden="0"/>
    </xf>
    <xf numFmtId="0" fontId="17" fillId="2" borderId="10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left" vertical="bottom"/>
    </xf>
    <xf numFmtId="0" fontId="4" fillId="2" borderId="4" applyAlignment="1" pivotButton="0" quotePrefix="0" xfId="0">
      <alignment horizontal="left" vertical="bottom"/>
    </xf>
    <xf numFmtId="0" fontId="4" fillId="2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bottom"/>
      <protection locked="0" hidden="0"/>
    </xf>
    <xf numFmtId="0" fontId="17" fillId="6" borderId="5" applyAlignment="1" applyProtection="1" pivotButton="0" quotePrefix="0" xfId="0">
      <alignment horizontal="center" vertical="bottom"/>
      <protection locked="0" hidden="0"/>
    </xf>
    <xf numFmtId="0" fontId="17" fillId="6" borderId="6" applyAlignment="1" applyProtection="1" pivotButton="0" quotePrefix="0" xfId="0">
      <alignment horizontal="center" vertical="bottom"/>
      <protection locked="0" hidden="0"/>
    </xf>
    <xf numFmtId="0" fontId="17" fillId="6" borderId="7" applyAlignment="1" applyProtection="1" pivotButton="0" quotePrefix="0" xfId="0">
      <alignment horizontal="center" vertical="bottom"/>
      <protection locked="0" hidden="0"/>
    </xf>
    <xf numFmtId="2" fontId="17" fillId="4" borderId="46" applyAlignment="1" applyProtection="1" pivotButton="0" quotePrefix="0" xfId="0">
      <alignment horizontal="center" vertical="bottom"/>
      <protection locked="0" hidden="0"/>
    </xf>
    <xf numFmtId="0" fontId="27" fillId="2" borderId="9" applyAlignment="1" pivotButton="0" quotePrefix="0" xfId="0">
      <alignment horizontal="general" vertical="bottom"/>
    </xf>
    <xf numFmtId="0" fontId="4" fillId="2" borderId="17" applyAlignment="1" pivotButton="0" quotePrefix="0" xfId="0">
      <alignment horizontal="right" vertical="center"/>
    </xf>
    <xf numFmtId="0" fontId="27" fillId="2" borderId="18" applyAlignment="1" pivotButton="0" quotePrefix="0" xfId="0">
      <alignment horizontal="general" vertical="bottom"/>
    </xf>
    <xf numFmtId="0" fontId="27" fillId="2" borderId="25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27" fillId="2" borderId="1" applyAlignment="1" pivotButton="0" quotePrefix="0" xfId="0">
      <alignment horizontal="center" vertical="bottom"/>
    </xf>
    <xf numFmtId="0" fontId="27" fillId="2" borderId="0" applyAlignment="1" applyProtection="1" pivotButton="0" quotePrefix="0" xfId="0">
      <alignment horizontal="left" vertical="center"/>
      <protection locked="0" hidden="0"/>
    </xf>
    <xf numFmtId="0" fontId="17" fillId="4" borderId="47" applyAlignment="1" applyProtection="1" pivotButton="0" quotePrefix="0" xfId="0">
      <alignment horizontal="general" vertical="bottom"/>
      <protection locked="0" hidden="0"/>
    </xf>
    <xf numFmtId="0" fontId="17" fillId="4" borderId="48" applyAlignment="1" applyProtection="1" pivotButton="0" quotePrefix="0" xfId="0">
      <alignment horizontal="general" vertical="bottom"/>
      <protection locked="0" hidden="0"/>
    </xf>
    <xf numFmtId="2" fontId="20" fillId="2" borderId="0" applyAlignment="1" pivotButton="0" quotePrefix="0" xfId="0">
      <alignment horizontal="general" vertical="bottom"/>
    </xf>
    <xf numFmtId="0" fontId="27" fillId="2" borderId="9" applyAlignment="1" pivotButton="0" quotePrefix="0" xfId="0">
      <alignment horizontal="general" vertical="center"/>
    </xf>
    <xf numFmtId="0" fontId="4" fillId="2" borderId="28" applyAlignment="1" pivotButton="0" quotePrefix="0" xfId="0">
      <alignment horizontal="right" vertical="center"/>
    </xf>
    <xf numFmtId="0" fontId="27" fillId="2" borderId="21" applyAlignment="1" pivotButton="0" quotePrefix="0" xfId="0">
      <alignment horizontal="general" vertical="bottom"/>
    </xf>
    <xf numFmtId="0" fontId="27" fillId="2" borderId="15" applyAlignment="1" pivotButton="0" quotePrefix="0" xfId="0">
      <alignment horizontal="center" vertical="center"/>
    </xf>
    <xf numFmtId="0" fontId="32" fillId="2" borderId="25" applyAlignment="1" pivotButton="0" quotePrefix="0" xfId="0">
      <alignment horizontal="left" vertical="bottom"/>
    </xf>
    <xf numFmtId="0" fontId="27" fillId="2" borderId="49" applyAlignment="1" pivotButton="0" quotePrefix="0" xfId="0">
      <alignment horizontal="center" vertical="bottom"/>
    </xf>
    <xf numFmtId="1" fontId="27" fillId="2" borderId="49" applyAlignment="1" pivotButton="0" quotePrefix="0" xfId="0">
      <alignment horizontal="center" vertical="center"/>
    </xf>
    <xf numFmtId="167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7" applyAlignment="1" applyProtection="1" pivotButton="0" quotePrefix="0" xfId="0">
      <alignment horizontal="general" vertical="bottom"/>
      <protection locked="0" hidden="0"/>
    </xf>
    <xf numFmtId="164" fontId="17" fillId="4" borderId="48" applyAlignment="1" applyProtection="1" pivotButton="0" quotePrefix="0" xfId="0">
      <alignment horizontal="general" vertical="bottom"/>
      <protection locked="0" hidden="0"/>
    </xf>
    <xf numFmtId="0" fontId="32" fillId="2" borderId="15" applyAlignment="1" pivotButton="0" quotePrefix="0" xfId="0">
      <alignment horizontal="left" vertical="bottom"/>
    </xf>
    <xf numFmtId="0" fontId="27" fillId="2" borderId="50" applyAlignment="1" pivotButton="0" quotePrefix="0" xfId="0">
      <alignment horizontal="center" vertical="bottom"/>
    </xf>
    <xf numFmtId="1" fontId="27" fillId="2" borderId="50" applyAlignment="1" pivotButton="0" quotePrefix="0" xfId="0">
      <alignment horizontal="center" vertical="center"/>
    </xf>
    <xf numFmtId="0" fontId="17" fillId="4" borderId="38" applyAlignment="1" applyProtection="1" pivotButton="0" quotePrefix="0" xfId="0">
      <alignment horizontal="left" vertical="center"/>
      <protection locked="0" hidden="0"/>
    </xf>
    <xf numFmtId="0" fontId="17" fillId="4" borderId="37" applyAlignment="1" applyProtection="1" pivotButton="0" quotePrefix="0" xfId="0">
      <alignment horizontal="left" vertical="center"/>
      <protection locked="0" hidden="0"/>
    </xf>
    <xf numFmtId="164" fontId="17" fillId="4" borderId="38" applyAlignment="1" applyProtection="1" pivotButton="0" quotePrefix="0" xfId="0">
      <alignment horizontal="left" vertical="bottom"/>
      <protection locked="0" hidden="0"/>
    </xf>
    <xf numFmtId="164" fontId="17" fillId="4" borderId="37" applyAlignment="1" applyProtection="1" pivotButton="0" quotePrefix="0" xfId="0">
      <alignment horizontal="left" vertical="bottom"/>
      <protection locked="0" hidden="0"/>
    </xf>
    <xf numFmtId="0" fontId="17" fillId="4" borderId="37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2" fontId="17" fillId="4" borderId="51" applyAlignment="1" applyProtection="1" pivotButton="0" quotePrefix="0" xfId="0">
      <alignment horizontal="center" vertical="center"/>
      <protection locked="0" hidden="0"/>
    </xf>
    <xf numFmtId="0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1" applyAlignment="1" applyProtection="1" pivotButton="0" quotePrefix="0" xfId="0">
      <alignment horizontal="general" vertical="bottom"/>
      <protection locked="0" hidden="0"/>
    </xf>
    <xf numFmtId="0" fontId="17" fillId="2" borderId="53" applyAlignment="1" applyProtection="1" pivotButton="0" quotePrefix="0" xfId="0">
      <alignment horizontal="center" vertical="bottom"/>
      <protection locked="0" hidden="0"/>
    </xf>
    <xf numFmtId="0" fontId="17" fillId="2" borderId="54" applyAlignment="1" applyProtection="1" pivotButton="0" quotePrefix="0" xfId="0">
      <alignment horizontal="left" vertical="bottom"/>
      <protection locked="0" hidden="0"/>
    </xf>
    <xf numFmtId="0" fontId="17" fillId="2" borderId="44" applyAlignment="1" applyProtection="1" pivotButton="0" quotePrefix="0" xfId="0">
      <alignment horizontal="left" vertical="bottom"/>
      <protection locked="0" hidden="0"/>
    </xf>
    <xf numFmtId="0" fontId="17" fillId="2" borderId="54" applyAlignment="1" applyProtection="1" pivotButton="0" quotePrefix="0" xfId="0">
      <alignment horizontal="center" vertical="bottom"/>
      <protection locked="0" hidden="0"/>
    </xf>
    <xf numFmtId="164" fontId="17" fillId="2" borderId="53" applyAlignment="1" applyProtection="1" pivotButton="0" quotePrefix="0" xfId="0">
      <alignment horizontal="center" vertical="bottom"/>
      <protection locked="0" hidden="0"/>
    </xf>
    <xf numFmtId="164" fontId="17" fillId="2" borderId="44" applyAlignment="1" applyProtection="1" pivotButton="0" quotePrefix="0" xfId="0">
      <alignment horizontal="left" vertical="bottom"/>
      <protection locked="0" hidden="0"/>
    </xf>
    <xf numFmtId="0" fontId="4" fillId="2" borderId="55" applyAlignment="1" pivotButton="0" quotePrefix="0" xfId="0">
      <alignment horizontal="right" vertical="center"/>
    </xf>
    <xf numFmtId="0" fontId="4" fillId="2" borderId="56" applyAlignment="1" pivotButton="0" quotePrefix="0" xfId="0">
      <alignment horizontal="general" vertical="bottom"/>
    </xf>
    <xf numFmtId="0" fontId="4" fillId="2" borderId="57" applyAlignment="1" pivotButton="0" quotePrefix="0" xfId="0">
      <alignment horizontal="center" vertical="center"/>
    </xf>
    <xf numFmtId="167" fontId="17" fillId="2" borderId="53" applyAlignment="1" pivotButton="0" quotePrefix="0" xfId="0">
      <alignment horizontal="center" vertical="bottom"/>
    </xf>
    <xf numFmtId="0" fontId="4" fillId="2" borderId="6" applyAlignment="1" pivotButton="0" quotePrefix="0" xfId="0">
      <alignment horizontal="right" vertical="center"/>
    </xf>
    <xf numFmtId="0" fontId="4" fillId="2" borderId="6" applyAlignment="1" pivotButton="0" quotePrefix="0" xfId="0">
      <alignment horizontal="center" vertical="center"/>
    </xf>
    <xf numFmtId="0" fontId="32" fillId="2" borderId="21" applyAlignment="1" pivotButton="0" quotePrefix="0" xfId="0">
      <alignment horizontal="left" vertical="bottom"/>
    </xf>
    <xf numFmtId="0" fontId="17" fillId="4" borderId="45" applyAlignment="1" applyProtection="1" pivotButton="0" quotePrefix="0" xfId="0">
      <alignment horizontal="center" vertical="center"/>
      <protection locked="0" hidden="0"/>
    </xf>
    <xf numFmtId="0" fontId="17" fillId="4" borderId="58" applyAlignment="1" applyProtection="1" pivotButton="0" quotePrefix="0" xfId="0">
      <alignment horizontal="center" vertical="center"/>
      <protection locked="0" hidden="0"/>
    </xf>
    <xf numFmtId="0" fontId="17" fillId="4" borderId="47" applyAlignment="1" applyProtection="1" pivotButton="0" quotePrefix="0" xfId="0">
      <alignment horizontal="center" vertical="center"/>
      <protection locked="0" hidden="0"/>
    </xf>
    <xf numFmtId="164" fontId="17" fillId="4" borderId="58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7" fontId="17" fillId="4" borderId="40" applyAlignment="1" applyProtection="1" pivotButton="0" quotePrefix="0" xfId="0">
      <alignment horizontal="center" vertical="center"/>
      <protection locked="0" hidden="0"/>
    </xf>
    <xf numFmtId="0" fontId="17" fillId="4" borderId="41" applyAlignment="1" applyProtection="1" pivotButton="0" quotePrefix="0" xfId="0">
      <alignment horizontal="left" vertical="center"/>
      <protection locked="0" hidden="0"/>
    </xf>
    <xf numFmtId="164" fontId="17" fillId="4" borderId="41" applyAlignment="1" applyProtection="1" pivotButton="0" quotePrefix="0" xfId="0">
      <alignment horizontal="left" vertical="center"/>
      <protection locked="0" hidden="0"/>
    </xf>
    <xf numFmtId="0" fontId="27" fillId="6" borderId="29" applyAlignment="1" applyProtection="1" pivotButton="0" quotePrefix="0" xfId="0">
      <alignment horizontal="left" vertical="bottom"/>
      <protection locked="0" hidden="0"/>
    </xf>
    <xf numFmtId="0" fontId="27" fillId="2" borderId="6" applyAlignment="1" applyProtection="1" pivotButton="0" quotePrefix="0" xfId="0">
      <alignment horizontal="left" vertical="center"/>
      <protection locked="0" hidden="0"/>
    </xf>
    <xf numFmtId="0" fontId="17" fillId="4" borderId="6" applyAlignment="1" applyProtection="1" pivotButton="0" quotePrefix="0" xfId="0">
      <alignment horizontal="general" vertical="bottom"/>
      <protection locked="0" hidden="0"/>
    </xf>
    <xf numFmtId="164" fontId="17" fillId="4" borderId="7" applyAlignment="1" applyProtection="1" pivotButton="0" quotePrefix="0" xfId="0">
      <alignment horizontal="general" vertical="bottom"/>
      <protection locked="0" hidden="0"/>
    </xf>
    <xf numFmtId="164" fontId="17" fillId="4" borderId="6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right" vertical="center"/>
    </xf>
    <xf numFmtId="0" fontId="4" fillId="2" borderId="13" applyAlignment="1" pivotButton="0" quotePrefix="0" xfId="0">
      <alignment horizontal="center" vertical="center"/>
    </xf>
    <xf numFmtId="0" fontId="32" fillId="2" borderId="56" applyAlignment="1" pivotButton="0" quotePrefix="0" xfId="0">
      <alignment horizontal="left" vertical="bottom"/>
    </xf>
    <xf numFmtId="0" fontId="27" fillId="2" borderId="59" applyAlignment="1" pivotButton="0" quotePrefix="0" xfId="0">
      <alignment horizontal="center" vertical="bottom"/>
    </xf>
    <xf numFmtId="1" fontId="27" fillId="2" borderId="59" applyAlignment="1" pivotButton="0" quotePrefix="0" xfId="0">
      <alignment horizontal="center" vertical="center"/>
    </xf>
    <xf numFmtId="167" fontId="17" fillId="4" borderId="47" applyAlignment="1" applyProtection="1" pivotButton="0" quotePrefix="0" xfId="0">
      <alignment horizontal="center" vertical="bottom"/>
      <protection locked="0" hidden="0"/>
    </xf>
    <xf numFmtId="167" fontId="20" fillId="2" borderId="0" applyAlignment="1" pivotButton="0" quotePrefix="0" xfId="0">
      <alignment horizontal="general" vertical="bottom"/>
    </xf>
    <xf numFmtId="0" fontId="27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bottom"/>
    </xf>
    <xf numFmtId="2" fontId="17" fillId="4" borderId="36" applyAlignment="1" applyProtection="1" pivotButton="0" quotePrefix="0" xfId="0">
      <alignment horizontal="center" vertical="center"/>
      <protection locked="0" hidden="0"/>
    </xf>
    <xf numFmtId="2" fontId="17" fillId="4" borderId="37" applyAlignment="1" applyProtection="1" pivotButton="0" quotePrefix="0" xfId="0">
      <alignment horizontal="general" vertical="center"/>
      <protection locked="0" hidden="0"/>
    </xf>
    <xf numFmtId="2" fontId="17" fillId="4" borderId="37" applyAlignment="1" applyProtection="1" pivotButton="0" quotePrefix="0" xfId="0">
      <alignment horizontal="center" vertical="center"/>
      <protection locked="0" hidden="0"/>
    </xf>
    <xf numFmtId="0" fontId="27" fillId="2" borderId="25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left" vertical="bottom"/>
    </xf>
    <xf numFmtId="0" fontId="32" fillId="2" borderId="5" applyAlignment="1" pivotButton="0" quotePrefix="0" xfId="0">
      <alignment horizontal="left" vertical="bottom"/>
    </xf>
    <xf numFmtId="0" fontId="32" fillId="2" borderId="7" applyAlignment="1" pivotButton="0" quotePrefix="0" xfId="0">
      <alignment horizontal="general" vertical="bottom"/>
    </xf>
    <xf numFmtId="0" fontId="33" fillId="4" borderId="17" applyAlignment="1" pivotButton="0" quotePrefix="0" xfId="0">
      <alignment horizontal="center" vertical="center"/>
    </xf>
    <xf numFmtId="0" fontId="33" fillId="4" borderId="25" applyAlignment="1" pivotButton="0" quotePrefix="0" xfId="0">
      <alignment horizontal="center" vertical="center"/>
    </xf>
    <xf numFmtId="0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7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general" vertical="bottom"/>
      <protection locked="0" hidden="0"/>
    </xf>
    <xf numFmtId="0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8" applyAlignment="1" applyProtection="1" pivotButton="0" quotePrefix="0" xfId="0">
      <alignment horizontal="left" vertical="bottom"/>
      <protection locked="0" hidden="0"/>
    </xf>
    <xf numFmtId="0" fontId="27" fillId="2" borderId="15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left" vertical="bottom"/>
    </xf>
    <xf numFmtId="0" fontId="32" fillId="2" borderId="9" applyAlignment="1" pivotButton="0" quotePrefix="0" xfId="0">
      <alignment horizontal="left" vertical="bottom"/>
    </xf>
    <xf numFmtId="0" fontId="32" fillId="2" borderId="10" applyAlignment="1" pivotButton="0" quotePrefix="0" xfId="0">
      <alignment horizontal="left" vertical="bottom"/>
    </xf>
    <xf numFmtId="0" fontId="33" fillId="4" borderId="15" applyAlignment="1" pivotButton="0" quotePrefix="0" xfId="0">
      <alignment horizontal="center" vertical="center"/>
    </xf>
    <xf numFmtId="0" fontId="17" fillId="4" borderId="53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left" vertical="bottom"/>
      <protection locked="0" hidden="0"/>
    </xf>
    <xf numFmtId="164" fontId="17" fillId="4" borderId="53" applyAlignment="1" applyProtection="1" pivotButton="0" quotePrefix="0" xfId="0">
      <alignment horizontal="center" vertical="bottom"/>
      <protection locked="0" hidden="0"/>
    </xf>
    <xf numFmtId="164" fontId="17" fillId="4" borderId="54" applyAlignment="1" applyProtection="1" pivotButton="0" quotePrefix="0" xfId="0">
      <alignment horizontal="center" vertical="bottom"/>
      <protection locked="0" hidden="0"/>
    </xf>
    <xf numFmtId="164" fontId="17" fillId="4" borderId="36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bottom"/>
    </xf>
    <xf numFmtId="0" fontId="32" fillId="2" borderId="8" applyAlignment="1" pivotButton="0" quotePrefix="0" xfId="0">
      <alignment horizontal="left" vertical="bottom"/>
    </xf>
    <xf numFmtId="167" fontId="17" fillId="4" borderId="36" applyAlignment="1" applyProtection="1" pivotButton="0" quotePrefix="0" xfId="0">
      <alignment horizontal="center" vertical="center"/>
      <protection locked="0" hidden="0"/>
    </xf>
    <xf numFmtId="167" fontId="17" fillId="4" borderId="54" applyAlignment="1" applyProtection="1" pivotButton="0" quotePrefix="0" xfId="0">
      <alignment horizontal="center" vertical="center"/>
      <protection locked="0" hidden="0"/>
    </xf>
    <xf numFmtId="0" fontId="17" fillId="4" borderId="54" applyAlignment="1" applyProtection="1" pivotButton="0" quotePrefix="0" xfId="0">
      <alignment horizontal="general" vertical="bottom"/>
      <protection locked="0" hidden="0"/>
    </xf>
    <xf numFmtId="167" fontId="17" fillId="4" borderId="38" applyAlignment="1" applyProtection="1" pivotButton="0" quotePrefix="0" xfId="0">
      <alignment horizontal="center" vertical="center"/>
      <protection locked="0" hidden="0"/>
    </xf>
    <xf numFmtId="167" fontId="17" fillId="4" borderId="53" applyAlignment="1" applyProtection="1" pivotButton="0" quotePrefix="0" xfId="0">
      <alignment horizontal="center" vertical="center"/>
      <protection locked="0" hidden="0"/>
    </xf>
    <xf numFmtId="164" fontId="17" fillId="4" borderId="44" applyAlignment="1" applyProtection="1" pivotButton="0" quotePrefix="0" xfId="0">
      <alignment horizontal="left" vertical="bottom"/>
      <protection locked="0" hidden="0"/>
    </xf>
    <xf numFmtId="167" fontId="17" fillId="4" borderId="9" applyAlignment="1" applyProtection="1" pivotButton="0" quotePrefix="0" xfId="0">
      <alignment horizontal="center" vertical="center"/>
      <protection locked="0" hidden="0"/>
    </xf>
    <xf numFmtId="0" fontId="17" fillId="4" borderId="10" applyAlignment="1" applyProtection="1" pivotButton="0" quotePrefix="0" xfId="0">
      <alignment horizontal="general" vertical="bottom"/>
      <protection locked="0" hidden="0"/>
    </xf>
    <xf numFmtId="167" fontId="17" fillId="4" borderId="0" applyAlignment="1" applyProtection="1" pivotButton="0" quotePrefix="0" xfId="0">
      <alignment horizontal="center" vertical="center"/>
      <protection locked="0" hidden="0"/>
    </xf>
    <xf numFmtId="0" fontId="17" fillId="4" borderId="0" applyAlignment="1" applyProtection="1" pivotButton="0" quotePrefix="0" xfId="0">
      <alignment horizontal="general" vertical="bottom"/>
      <protection locked="0" hidden="0"/>
    </xf>
    <xf numFmtId="164" fontId="17" fillId="4" borderId="10" applyAlignment="1" applyProtection="1" pivotButton="0" quotePrefix="0" xfId="0">
      <alignment horizontal="left" vertical="bottom"/>
      <protection locked="0" hidden="0"/>
    </xf>
    <xf numFmtId="0" fontId="4" fillId="2" borderId="9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167" fontId="17" fillId="2" borderId="36" applyAlignment="1" pivotButton="0" quotePrefix="0" xfId="0">
      <alignment horizontal="center" vertical="bottom"/>
    </xf>
    <xf numFmtId="0" fontId="17" fillId="2" borderId="37" applyAlignment="1" pivotButton="0" quotePrefix="0" xfId="0">
      <alignment horizontal="left" vertical="center"/>
    </xf>
    <xf numFmtId="0" fontId="17" fillId="2" borderId="44" applyAlignment="1" pivotButton="0" quotePrefix="0" xfId="0">
      <alignment horizontal="left" vertical="center"/>
    </xf>
    <xf numFmtId="167" fontId="42" fillId="0" borderId="0" applyAlignment="1" pivotButton="0" quotePrefix="0" xfId="0">
      <alignment horizontal="general" vertical="bottom"/>
    </xf>
    <xf numFmtId="0" fontId="27" fillId="2" borderId="22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bottom"/>
    </xf>
    <xf numFmtId="0" fontId="27" fillId="6" borderId="1" applyAlignment="1" pivotButton="0" quotePrefix="0" xfId="0">
      <alignment horizontal="left" vertical="center"/>
    </xf>
    <xf numFmtId="0" fontId="17" fillId="2" borderId="53" applyAlignment="1" pivotButton="0" quotePrefix="0" xfId="0">
      <alignment horizontal="center" vertical="bottom"/>
    </xf>
    <xf numFmtId="0" fontId="17" fillId="2" borderId="44" applyAlignment="1" pivotButton="0" quotePrefix="0" xfId="0">
      <alignment horizontal="left" vertical="bottom"/>
    </xf>
    <xf numFmtId="0" fontId="4" fillId="6" borderId="3" applyAlignment="1" pivotButton="0" quotePrefix="0" xfId="0">
      <alignment horizontal="general" vertical="bottom"/>
    </xf>
    <xf numFmtId="0" fontId="4" fillId="6" borderId="11" applyAlignment="1" pivotButton="0" quotePrefix="0" xfId="0">
      <alignment horizontal="general" vertical="bottom"/>
    </xf>
    <xf numFmtId="0" fontId="4" fillId="11" borderId="25" applyAlignment="1" pivotButton="0" quotePrefix="0" xfId="0">
      <alignment horizontal="center" vertical="center"/>
    </xf>
    <xf numFmtId="172" fontId="17" fillId="4" borderId="39" applyAlignment="1" applyProtection="1" pivotButton="0" quotePrefix="0" xfId="0">
      <alignment horizontal="center" vertical="bottom"/>
      <protection locked="0" hidden="0"/>
    </xf>
    <xf numFmtId="0" fontId="4" fillId="11" borderId="26" applyAlignment="1" pivotButton="0" quotePrefix="0" xfId="0">
      <alignment horizontal="left" vertical="center" wrapText="1"/>
    </xf>
    <xf numFmtId="167" fontId="4" fillId="4" borderId="25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left" vertical="center"/>
      <protection locked="0" hidden="0"/>
    </xf>
    <xf numFmtId="0" fontId="4" fillId="2" borderId="13" applyAlignment="1" applyProtection="1" pivotButton="0" quotePrefix="0" xfId="0">
      <alignment horizontal="left" vertical="center"/>
      <protection locked="0" hidden="0"/>
    </xf>
    <xf numFmtId="20" fontId="13" fillId="2" borderId="40" applyAlignment="1" pivotButton="0" quotePrefix="0" xfId="0">
      <alignment horizontal="center" vertical="bottom"/>
    </xf>
    <xf numFmtId="0" fontId="13" fillId="2" borderId="41" applyAlignment="1" pivotButton="0" quotePrefix="0" xfId="0">
      <alignment horizontal="general" vertical="bottom"/>
    </xf>
    <xf numFmtId="0" fontId="4" fillId="11" borderId="15" applyAlignment="1" pivotButton="0" quotePrefix="0" xfId="0">
      <alignment horizontal="left" vertical="center" wrapText="1"/>
    </xf>
    <xf numFmtId="167" fontId="4" fillId="4" borderId="15" applyAlignment="1" pivotButton="0" quotePrefix="0" xfId="0">
      <alignment horizontal="center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167" fontId="17" fillId="2" borderId="5" applyAlignment="1" applyProtection="1" pivotButton="0" quotePrefix="0" xfId="0">
      <alignment horizontal="center" vertical="bottom"/>
      <protection locked="0" hidden="0"/>
    </xf>
    <xf numFmtId="0" fontId="17" fillId="2" borderId="7" applyAlignment="1" applyProtection="1" pivotButton="0" quotePrefix="0" xfId="0">
      <alignment horizontal="general" vertical="bottom"/>
      <protection locked="0" hidden="0"/>
    </xf>
    <xf numFmtId="167" fontId="17" fillId="2" borderId="6" applyAlignment="1" applyProtection="1" pivotButton="0" quotePrefix="0" xfId="0">
      <alignment horizontal="center" vertical="bottom"/>
      <protection locked="0" hidden="0"/>
    </xf>
    <xf numFmtId="0" fontId="17" fillId="2" borderId="6" applyAlignment="1" applyProtection="1" pivotButton="0" quotePrefix="0" xfId="0">
      <alignment horizontal="general" vertical="bottom"/>
      <protection locked="0" hidden="0"/>
    </xf>
    <xf numFmtId="164" fontId="17" fillId="2" borderId="7" applyAlignment="1" applyProtection="1" pivotButton="0" quotePrefix="0" xfId="0">
      <alignment horizontal="general" vertical="bottom"/>
      <protection locked="0" hidden="0"/>
    </xf>
    <xf numFmtId="164" fontId="17" fillId="2" borderId="6" applyAlignment="1" applyProtection="1" pivotButton="0" quotePrefix="0" xfId="0">
      <alignment horizontal="general" vertical="bottom"/>
      <protection locked="0" hidden="0"/>
    </xf>
    <xf numFmtId="0" fontId="4" fillId="4" borderId="15" applyAlignment="1" pivotButton="0" quotePrefix="0" xfId="0">
      <alignment horizontal="left" vertical="bottom"/>
    </xf>
    <xf numFmtId="167" fontId="17" fillId="2" borderId="45" applyAlignment="1" applyProtection="1" pivotButton="0" quotePrefix="0" xfId="0">
      <alignment horizontal="center" vertical="bottom"/>
      <protection locked="0" hidden="0"/>
    </xf>
    <xf numFmtId="0" fontId="17" fillId="2" borderId="48" applyAlignment="1" applyProtection="1" pivotButton="0" quotePrefix="0" xfId="0">
      <alignment horizontal="general" vertical="bottom"/>
      <protection locked="0" hidden="0"/>
    </xf>
    <xf numFmtId="167" fontId="17" fillId="2" borderId="47" applyAlignment="1" applyProtection="1" pivotButton="0" quotePrefix="0" xfId="0">
      <alignment horizontal="center" vertical="bottom"/>
      <protection locked="0" hidden="0"/>
    </xf>
    <xf numFmtId="0" fontId="17" fillId="2" borderId="47" applyAlignment="1" applyProtection="1" pivotButton="0" quotePrefix="0" xfId="0">
      <alignment horizontal="general" vertical="bottom"/>
      <protection locked="0" hidden="0"/>
    </xf>
    <xf numFmtId="0" fontId="4" fillId="11" borderId="15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bottom"/>
    </xf>
    <xf numFmtId="2" fontId="17" fillId="2" borderId="39" applyAlignment="1" applyProtection="1" pivotButton="0" quotePrefix="0" xfId="0">
      <alignment horizontal="center" vertical="center"/>
      <protection locked="0" hidden="0"/>
    </xf>
    <xf numFmtId="1" fontId="4" fillId="4" borderId="15" applyAlignment="1" pivotButton="0" quotePrefix="0" xfId="0">
      <alignment horizontal="center" vertical="bottom"/>
    </xf>
    <xf numFmtId="2" fontId="17" fillId="2" borderId="37" applyAlignment="1" applyProtection="1" pivotButton="0" quotePrefix="0" xfId="0">
      <alignment horizontal="general" vertical="center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general" vertical="bottom"/>
      <protection locked="0" hidden="0"/>
    </xf>
    <xf numFmtId="164" fontId="17" fillId="2" borderId="41" applyAlignment="1" applyProtection="1" pivotButton="0" quotePrefix="0" xfId="0">
      <alignment horizontal="left" vertical="bottom"/>
      <protection locked="0" hidden="0"/>
    </xf>
    <xf numFmtId="166" fontId="4" fillId="4" borderId="15" applyAlignment="1" pivotButton="0" quotePrefix="0" xfId="0">
      <alignment horizontal="center" vertical="bottom"/>
    </xf>
    <xf numFmtId="0" fontId="4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 wrapText="1"/>
    </xf>
    <xf numFmtId="167" fontId="20" fillId="2" borderId="0" applyAlignment="1" pivotButton="0" quotePrefix="0" xfId="0">
      <alignment horizontal="general" vertical="bottom" wrapText="1"/>
    </xf>
    <xf numFmtId="0" fontId="4" fillId="11" borderId="2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bottom"/>
    </xf>
    <xf numFmtId="0" fontId="4" fillId="4" borderId="22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center" wrapText="1"/>
    </xf>
    <xf numFmtId="0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center" vertical="center"/>
    </xf>
    <xf numFmtId="167" fontId="44" fillId="2" borderId="0" applyAlignment="1" pivotButton="0" quotePrefix="0" xfId="0">
      <alignment horizontal="center" vertical="center"/>
    </xf>
    <xf numFmtId="20" fontId="44" fillId="2" borderId="0" applyAlignment="1" pivotButton="0" quotePrefix="0" xfId="0">
      <alignment horizontal="center" vertical="center"/>
    </xf>
    <xf numFmtId="2" fontId="44" fillId="2" borderId="0" applyAlignment="1" pivotButton="0" quotePrefix="0" xfId="0">
      <alignment horizontal="center" vertical="center"/>
    </xf>
    <xf numFmtId="164" fontId="44" fillId="2" borderId="0" applyAlignment="1" pivotButton="0" quotePrefix="0" xfId="0">
      <alignment horizontal="center" vertical="center"/>
    </xf>
    <xf numFmtId="1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general" vertical="bottom"/>
    </xf>
    <xf numFmtId="166" fontId="44" fillId="2" borderId="3" applyAlignment="1" pivotButton="0" quotePrefix="0" xfId="0">
      <alignment horizontal="center" vertical="center"/>
    </xf>
    <xf numFmtId="2" fontId="44" fillId="2" borderId="29" applyAlignment="1" pivotButton="0" quotePrefix="0" xfId="0">
      <alignment horizontal="center" vertical="center"/>
    </xf>
    <xf numFmtId="167" fontId="44" fillId="2" borderId="29" applyAlignment="1" pivotButton="0" quotePrefix="0" xfId="0">
      <alignment horizontal="center" vertical="center"/>
    </xf>
    <xf numFmtId="0" fontId="44" fillId="2" borderId="29" applyAlignment="1" pivotButton="0" quotePrefix="0" xfId="0">
      <alignment horizontal="center" vertical="center"/>
    </xf>
    <xf numFmtId="20" fontId="44" fillId="2" borderId="29" applyAlignment="1" pivotButton="0" quotePrefix="0" xfId="0">
      <alignment horizontal="center" vertical="center"/>
    </xf>
    <xf numFmtId="10" fontId="44" fillId="2" borderId="29" applyAlignment="1" pivotButton="0" quotePrefix="0" xfId="0">
      <alignment horizontal="center" vertical="center"/>
    </xf>
    <xf numFmtId="1" fontId="44" fillId="2" borderId="29" applyAlignment="1" pivotButton="0" quotePrefix="0" xfId="0">
      <alignment horizontal="center" vertical="center"/>
    </xf>
    <xf numFmtId="0" fontId="44" fillId="2" borderId="11" applyAlignment="1" pivotButton="0" quotePrefix="0" xfId="0">
      <alignment horizontal="center" vertical="center"/>
    </xf>
    <xf numFmtId="164" fontId="6" fillId="2" borderId="0" applyAlignment="1" applyProtection="1" pivotButton="0" quotePrefix="0" xfId="28">
      <alignment horizontal="general" vertical="bottom"/>
      <protection locked="0" hidden="0"/>
    </xf>
    <xf numFmtId="0" fontId="45" fillId="2" borderId="61" applyAlignment="1" applyProtection="1" pivotButton="0" quotePrefix="0" xfId="0">
      <alignment horizontal="center" vertical="bottom"/>
      <protection locked="0" hidden="0"/>
    </xf>
    <xf numFmtId="0" fontId="46" fillId="2" borderId="62" applyAlignment="1" applyProtection="1" pivotButton="0" quotePrefix="0" xfId="0">
      <alignment horizontal="center" vertical="center"/>
      <protection locked="0" hidden="0"/>
    </xf>
    <xf numFmtId="0" fontId="45" fillId="2" borderId="63" applyAlignment="1" applyProtection="1" pivotButton="0" quotePrefix="0" xfId="0">
      <alignment horizontal="center" vertical="center"/>
      <protection locked="0" hidden="0"/>
    </xf>
    <xf numFmtId="0" fontId="45" fillId="2" borderId="64" applyAlignment="1" applyProtection="1" pivotButton="0" quotePrefix="0" xfId="0">
      <alignment horizontal="center" vertical="center"/>
      <protection locked="0" hidden="0"/>
    </xf>
    <xf numFmtId="0" fontId="47" fillId="0" borderId="65" applyAlignment="1" pivotButton="0" quotePrefix="0" xfId="0">
      <alignment horizontal="center" vertical="center"/>
    </xf>
    <xf numFmtId="0" fontId="6" fillId="2" borderId="66" applyAlignment="1" applyProtection="1" pivotButton="0" quotePrefix="0" xfId="0">
      <alignment horizontal="left" vertical="bottom"/>
      <protection locked="0" hidden="0"/>
    </xf>
    <xf numFmtId="0" fontId="6" fillId="2" borderId="67" applyAlignment="1" applyProtection="1" pivotButton="0" quotePrefix="0" xfId="0">
      <alignment horizontal="general" vertical="bottom"/>
      <protection locked="0" hidden="0"/>
    </xf>
    <xf numFmtId="0" fontId="6" fillId="2" borderId="68" applyAlignment="1" applyProtection="1" pivotButton="0" quotePrefix="0" xfId="0">
      <alignment horizontal="center" vertical="bottom"/>
      <protection locked="0" hidden="0"/>
    </xf>
    <xf numFmtId="0" fontId="6" fillId="2" borderId="66" applyAlignment="1" applyProtection="1" pivotButton="0" quotePrefix="0" xfId="0">
      <alignment horizontal="center" vertical="bottom"/>
      <protection locked="0" hidden="0"/>
    </xf>
    <xf numFmtId="0" fontId="6" fillId="2" borderId="0" applyAlignment="1" applyProtection="1" pivotButton="0" quotePrefix="0" xfId="0">
      <alignment horizontal="center" vertical="bottom"/>
      <protection locked="0" hidden="0"/>
    </xf>
    <xf numFmtId="0" fontId="6" fillId="2" borderId="69" applyAlignment="1" applyProtection="1" pivotButton="0" quotePrefix="0" xfId="0">
      <alignment horizontal="general" vertical="bottom"/>
      <protection locked="0" hidden="0"/>
    </xf>
    <xf numFmtId="167" fontId="48" fillId="3" borderId="67" applyAlignment="1" pivotButton="0" quotePrefix="0" xfId="0">
      <alignment horizontal="center" vertical="center"/>
    </xf>
    <xf numFmtId="167" fontId="49" fillId="6" borderId="70" applyAlignment="1" pivotButton="0" quotePrefix="0" xfId="0">
      <alignment horizontal="center" vertical="bottom"/>
    </xf>
    <xf numFmtId="0" fontId="6" fillId="2" borderId="71" applyAlignment="1" applyProtection="1" pivotButton="0" quotePrefix="0" xfId="0">
      <alignment horizontal="left" vertical="bottom"/>
      <protection locked="0" hidden="0"/>
    </xf>
    <xf numFmtId="0" fontId="6" fillId="2" borderId="69" applyAlignment="1" applyProtection="1" pivotButton="0" quotePrefix="0" xfId="0">
      <alignment horizontal="left" vertical="bottom"/>
      <protection locked="0" hidden="0"/>
    </xf>
    <xf numFmtId="1" fontId="49" fillId="6" borderId="72" applyAlignment="1" pivotButton="0" quotePrefix="0" xfId="0">
      <alignment horizontal="center" vertical="bottom"/>
    </xf>
    <xf numFmtId="0" fontId="50" fillId="2" borderId="0" applyAlignment="1" applyProtection="1" pivotButton="0" quotePrefix="0" xfId="0">
      <alignment horizontal="center" vertical="bottom"/>
      <protection locked="0" hidden="0"/>
    </xf>
    <xf numFmtId="0" fontId="46" fillId="4" borderId="62" applyAlignment="1" pivotButton="0" quotePrefix="0" xfId="0">
      <alignment horizontal="center" vertical="center"/>
    </xf>
    <xf numFmtId="0" fontId="51" fillId="4" borderId="63" applyAlignment="1" pivotButton="0" quotePrefix="0" xfId="0">
      <alignment horizontal="center" vertical="center"/>
    </xf>
    <xf numFmtId="0" fontId="51" fillId="4" borderId="64" applyAlignment="1" applyProtection="1" pivotButton="0" quotePrefix="0" xfId="0">
      <alignment horizontal="center" vertical="center"/>
      <protection locked="0" hidden="0"/>
    </xf>
    <xf numFmtId="166" fontId="47" fillId="0" borderId="73" applyAlignment="1" pivotButton="0" quotePrefix="0" xfId="0">
      <alignment horizontal="center" vertical="center"/>
    </xf>
    <xf numFmtId="0" fontId="6" fillId="2" borderId="74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general" vertical="bottom"/>
      <protection locked="0" hidden="0"/>
    </xf>
    <xf numFmtId="167" fontId="48" fillId="3" borderId="8" applyAlignment="1" pivotButton="0" quotePrefix="0" xfId="0">
      <alignment horizontal="center" vertical="center"/>
    </xf>
    <xf numFmtId="1" fontId="49" fillId="6" borderId="75" applyAlignment="1" pivotButton="0" quotePrefix="0" xfId="0">
      <alignment horizontal="center" vertical="bottom"/>
    </xf>
    <xf numFmtId="0" fontId="6" fillId="2" borderId="61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left" vertical="bottom"/>
      <protection locked="0" hidden="0"/>
    </xf>
    <xf numFmtId="0" fontId="6" fillId="2" borderId="8" applyAlignment="1" applyProtection="1" pivotButton="0" quotePrefix="0" xfId="0">
      <alignment horizontal="general" vertical="bottom"/>
      <protection locked="0" hidden="0"/>
    </xf>
    <xf numFmtId="1" fontId="48" fillId="3" borderId="8" applyAlignment="1" pivotButton="0" quotePrefix="0" xfId="0">
      <alignment horizontal="center" vertical="center"/>
    </xf>
    <xf numFmtId="1" fontId="49" fillId="6" borderId="9" applyAlignment="1" pivotButton="0" quotePrefix="0" xfId="0">
      <alignment horizontal="center" vertical="bottom"/>
    </xf>
    <xf numFmtId="167" fontId="49" fillId="6" borderId="75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167" fontId="49" fillId="6" borderId="9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6" fillId="2" borderId="76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left" vertical="bottom"/>
      <protection locked="0" hidden="0"/>
    </xf>
    <xf numFmtId="0" fontId="6" fillId="2" borderId="78" applyAlignment="1" applyProtection="1" pivotButton="0" quotePrefix="0" xfId="0">
      <alignment horizontal="general" vertical="bottom"/>
      <protection locked="0" hidden="0"/>
    </xf>
    <xf numFmtId="167" fontId="48" fillId="3" borderId="78" applyAlignment="1" pivotButton="0" quotePrefix="0" xfId="0">
      <alignment horizontal="center" vertical="center"/>
    </xf>
    <xf numFmtId="167" fontId="49" fillId="6" borderId="79" applyAlignment="1" pivotButton="0" quotePrefix="0" xfId="0">
      <alignment horizontal="center" vertical="bottom"/>
    </xf>
    <xf numFmtId="167" fontId="49" fillId="6" borderId="80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general" vertical="bottom"/>
      <protection locked="0" hidden="0"/>
    </xf>
    <xf numFmtId="0" fontId="6" fillId="2" borderId="80" applyAlignment="1" applyProtection="1" pivotButton="0" quotePrefix="0" xfId="0">
      <alignment horizontal="center" vertical="center"/>
      <protection locked="0" hidden="0"/>
    </xf>
    <xf numFmtId="0" fontId="22" fillId="0" borderId="1" applyAlignment="1" applyProtection="1" pivotButton="0" quotePrefix="0" xfId="0">
      <alignment horizontal="center" vertical="center"/>
      <protection locked="0" hidden="0"/>
    </xf>
    <xf numFmtId="167" fontId="49" fillId="6" borderId="81" applyAlignment="1" pivotButton="0" quotePrefix="0" xfId="0">
      <alignment horizontal="center" vertical="bottom"/>
    </xf>
    <xf numFmtId="0" fontId="6" fillId="2" borderId="82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general" vertical="bottom"/>
      <protection locked="0" hidden="0"/>
    </xf>
    <xf numFmtId="0" fontId="6" fillId="2" borderId="83" applyAlignment="1" applyProtection="1" pivotButton="0" quotePrefix="0" xfId="0">
      <alignment horizontal="left" vertical="bottom"/>
      <protection locked="0" hidden="0"/>
    </xf>
    <xf numFmtId="167" fontId="49" fillId="6" borderId="79" applyAlignment="1" applyProtection="1" pivotButton="0" quotePrefix="0" xfId="0">
      <alignment horizontal="center" vertical="bottom"/>
      <protection locked="0" hidden="0"/>
    </xf>
    <xf numFmtId="167" fontId="49" fillId="6" borderId="80" applyAlignment="1" applyProtection="1" pivotButton="0" quotePrefix="0" xfId="0">
      <alignment horizontal="center" vertical="bottom"/>
      <protection locked="0" hidden="0"/>
    </xf>
    <xf numFmtId="1" fontId="54" fillId="2" borderId="73" applyAlignment="1" applyProtection="1" pivotButton="0" quotePrefix="0" xfId="0">
      <alignment horizontal="center" vertical="center"/>
      <protection locked="0" hidden="0"/>
    </xf>
    <xf numFmtId="0" fontId="55" fillId="2" borderId="84" applyAlignment="1" applyProtection="1" pivotButton="0" quotePrefix="0" xfId="0">
      <alignment horizontal="center" vertical="center"/>
      <protection locked="0" hidden="0"/>
    </xf>
    <xf numFmtId="0" fontId="55" fillId="2" borderId="85" applyAlignment="1" applyProtection="1" pivotButton="0" quotePrefix="0" xfId="0">
      <alignment horizontal="center" vertical="center"/>
      <protection locked="0" hidden="0"/>
    </xf>
    <xf numFmtId="0" fontId="55" fillId="2" borderId="65" applyAlignment="1" applyProtection="1" pivotButton="0" quotePrefix="0" xfId="0">
      <alignment horizontal="center" vertical="center"/>
      <protection locked="0" hidden="0"/>
    </xf>
    <xf numFmtId="0" fontId="55" fillId="2" borderId="86" applyAlignment="1" applyProtection="1" pivotButton="0" quotePrefix="0" xfId="0">
      <alignment horizontal="center" vertical="center"/>
      <protection locked="0" hidden="0"/>
    </xf>
    <xf numFmtId="0" fontId="55" fillId="2" borderId="87" applyAlignment="1" applyProtection="1" pivotButton="0" quotePrefix="0" xfId="0">
      <alignment horizontal="center" vertical="center"/>
      <protection locked="0" hidden="0"/>
    </xf>
    <xf numFmtId="0" fontId="55" fillId="2" borderId="88" applyAlignment="1" applyProtection="1" pivotButton="0" quotePrefix="0" xfId="0">
      <alignment horizontal="center" vertical="center" wrapText="1"/>
      <protection locked="0" hidden="0"/>
    </xf>
    <xf numFmtId="0" fontId="55" fillId="2" borderId="89" applyAlignment="1" applyProtection="1" pivotButton="0" quotePrefix="0" xfId="0">
      <alignment horizontal="center" vertical="center" wrapText="1"/>
      <protection locked="0" hidden="0"/>
    </xf>
    <xf numFmtId="167" fontId="6" fillId="2" borderId="90" applyAlignment="1" pivotButton="0" quotePrefix="0" xfId="0">
      <alignment horizontal="center" vertical="bottom"/>
    </xf>
    <xf numFmtId="167" fontId="6" fillId="4" borderId="91" applyAlignment="1" pivotButton="0" quotePrefix="0" xfId="0">
      <alignment horizontal="center" vertical="bottom"/>
    </xf>
    <xf numFmtId="167" fontId="6" fillId="4" borderId="92" applyAlignment="1" applyProtection="1" pivotButton="0" quotePrefix="0" xfId="0">
      <alignment horizontal="center" vertical="bottom"/>
      <protection locked="0" hidden="0"/>
    </xf>
    <xf numFmtId="2" fontId="6" fillId="4" borderId="9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bottom"/>
      <protection locked="0" hidden="0"/>
    </xf>
    <xf numFmtId="1" fontId="54" fillId="2" borderId="94" applyAlignment="1" applyProtection="1" pivotButton="0" quotePrefix="0" xfId="0">
      <alignment horizontal="center" vertical="bottom"/>
      <protection locked="0" hidden="0"/>
    </xf>
    <xf numFmtId="173" fontId="6" fillId="4" borderId="91" applyAlignment="1" pivotButton="0" quotePrefix="0" xfId="0">
      <alignment horizontal="center" vertical="bottom"/>
    </xf>
    <xf numFmtId="1" fontId="6" fillId="4" borderId="92" applyAlignment="1" applyProtection="1" pivotButton="0" quotePrefix="0" xfId="0">
      <alignment horizontal="center" vertical="bottom"/>
      <protection locked="0" hidden="0"/>
    </xf>
    <xf numFmtId="167" fontId="6" fillId="2" borderId="95" applyAlignment="1" pivotButton="0" quotePrefix="0" xfId="0">
      <alignment horizontal="center" vertical="bottom"/>
    </xf>
    <xf numFmtId="167" fontId="6" fillId="4" borderId="96" applyAlignment="1" applyProtection="1" pivotButton="0" quotePrefix="0" xfId="0">
      <alignment horizontal="center" vertical="bottom"/>
      <protection locked="0" hidden="0"/>
    </xf>
    <xf numFmtId="167" fontId="6" fillId="4" borderId="97" applyAlignment="1" applyProtection="1" pivotButton="0" quotePrefix="0" xfId="0">
      <alignment horizontal="center" vertical="bottom"/>
      <protection locked="0" hidden="0"/>
    </xf>
    <xf numFmtId="2" fontId="6" fillId="4" borderId="98" applyAlignment="1" applyProtection="1" pivotButton="0" quotePrefix="0" xfId="0">
      <alignment horizontal="center" vertical="bottom"/>
      <protection locked="0" hidden="0"/>
    </xf>
    <xf numFmtId="0" fontId="6" fillId="2" borderId="99" applyAlignment="1" applyProtection="1" pivotButton="0" quotePrefix="0" xfId="0">
      <alignment horizontal="center" vertical="bottom"/>
      <protection locked="0" hidden="0"/>
    </xf>
    <xf numFmtId="1" fontId="6" fillId="2" borderId="100" applyAlignment="1" applyProtection="1" pivotButton="0" quotePrefix="0" xfId="0">
      <alignment horizontal="center" vertical="bottom"/>
      <protection locked="0" hidden="0"/>
    </xf>
    <xf numFmtId="167" fontId="6" fillId="2" borderId="101" applyAlignment="1" pivotButton="0" quotePrefix="0" xfId="0">
      <alignment horizontal="center" vertical="bottom"/>
    </xf>
    <xf numFmtId="1" fontId="6" fillId="2" borderId="102" applyAlignment="1" pivotButton="0" quotePrefix="0" xfId="0">
      <alignment horizontal="center" vertical="bottom"/>
    </xf>
    <xf numFmtId="173" fontId="6" fillId="4" borderId="96" applyAlignment="1" applyProtection="1" pivotButton="0" quotePrefix="0" xfId="0">
      <alignment horizontal="center" vertical="bottom"/>
      <protection locked="0" hidden="0"/>
    </xf>
    <xf numFmtId="1" fontId="6" fillId="4" borderId="97" applyAlignment="1" applyProtection="1" pivotButton="0" quotePrefix="0" xfId="0">
      <alignment horizontal="center" vertical="bottom"/>
      <protection locked="0" hidden="0"/>
    </xf>
    <xf numFmtId="0" fontId="6" fillId="2" borderId="103" applyAlignment="1" applyProtection="1" pivotButton="0" quotePrefix="0" xfId="0">
      <alignment horizontal="center" vertical="bottom"/>
      <protection locked="0" hidden="0"/>
    </xf>
    <xf numFmtId="1" fontId="6" fillId="2" borderId="104" applyAlignment="1" applyProtection="1" pivotButton="0" quotePrefix="0" xfId="0">
      <alignment horizontal="center" vertical="bottom"/>
      <protection locked="0" hidden="0"/>
    </xf>
    <xf numFmtId="167" fontId="6" fillId="2" borderId="105" applyAlignment="1" pivotButton="0" quotePrefix="0" xfId="0">
      <alignment horizontal="center" vertical="bottom"/>
    </xf>
    <xf numFmtId="1" fontId="6" fillId="2" borderId="106" applyAlignment="1" pivotButton="0" quotePrefix="0" xfId="0">
      <alignment horizontal="center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right" vertical="bottom"/>
      <protection locked="0" hidden="0"/>
    </xf>
    <xf numFmtId="0" fontId="56" fillId="0" borderId="0" applyAlignment="1" pivotButton="0" quotePrefix="0" xfId="0">
      <alignment horizontal="general" vertical="bottom"/>
    </xf>
    <xf numFmtId="0" fontId="8" fillId="0" borderId="7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general" vertical="bottom"/>
      <protection locked="0" hidden="0"/>
    </xf>
    <xf numFmtId="174" fontId="6" fillId="2" borderId="0" applyAlignment="1" applyProtection="1" pivotButton="0" quotePrefix="0" xfId="0">
      <alignment horizontal="general" vertical="bottom"/>
      <protection locked="0" hidden="0"/>
    </xf>
    <xf numFmtId="0" fontId="8" fillId="0" borderId="0" applyAlignment="1" pivotButton="0" quotePrefix="0" xfId="0">
      <alignment horizontal="center" vertical="bottom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1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1" fontId="27" fillId="2" borderId="0" applyAlignment="1" applyProtection="1" pivotButton="0" quotePrefix="0" xfId="0">
      <alignment horizontal="center" vertical="bottom"/>
      <protection locked="0" hidden="0"/>
    </xf>
    <xf numFmtId="0" fontId="21" fillId="2" borderId="0" applyAlignment="1" applyProtection="1" pivotButton="0" quotePrefix="0" xfId="0">
      <alignment horizontal="center" vertical="bottom"/>
      <protection locked="0" hidden="0"/>
    </xf>
    <xf numFmtId="0" fontId="57" fillId="2" borderId="0" applyAlignment="1" applyProtection="1" pivotButton="0" quotePrefix="0" xfId="0">
      <alignment horizontal="general" vertical="bottom"/>
      <protection locked="0" hidden="0"/>
    </xf>
    <xf numFmtId="0" fontId="6" fillId="2" borderId="107" applyAlignment="1" applyProtection="1" pivotButton="0" quotePrefix="0" xfId="0">
      <alignment horizontal="center" vertical="bottom"/>
      <protection locked="0" hidden="0"/>
    </xf>
    <xf numFmtId="1" fontId="6" fillId="2" borderId="108" applyAlignment="1" applyProtection="1" pivotButton="0" quotePrefix="0" xfId="0">
      <alignment horizontal="center" vertical="bottom"/>
      <protection locked="0" hidden="0"/>
    </xf>
    <xf numFmtId="0" fontId="56" fillId="12" borderId="109" applyAlignment="1" pivotButton="0" quotePrefix="0" xfId="0">
      <alignment horizontal="center" vertical="bottom"/>
    </xf>
    <xf numFmtId="0" fontId="56" fillId="12" borderId="71" applyAlignment="1" applyProtection="1" pivotButton="0" quotePrefix="0" xfId="0">
      <alignment horizontal="center" vertical="bottom"/>
      <protection locked="0" hidden="0"/>
    </xf>
    <xf numFmtId="0" fontId="8" fillId="13" borderId="71" applyAlignment="1" applyProtection="1" pivotButton="0" quotePrefix="0" xfId="0">
      <alignment horizontal="general" vertical="bottom"/>
      <protection locked="0" hidden="0"/>
    </xf>
    <xf numFmtId="0" fontId="8" fillId="13" borderId="109" applyAlignment="1" applyProtection="1" pivotButton="0" quotePrefix="0" xfId="0">
      <alignment horizontal="general" vertical="bottom"/>
      <protection locked="0" hidden="0"/>
    </xf>
    <xf numFmtId="0" fontId="8" fillId="13" borderId="70" applyAlignment="1" applyProtection="1" pivotButton="0" quotePrefix="0" xfId="0">
      <alignment horizontal="general" vertical="bottom"/>
      <protection locked="0" hidden="0"/>
    </xf>
    <xf numFmtId="0" fontId="8" fillId="13" borderId="110" applyAlignment="1" pivotButton="0" quotePrefix="0" xfId="0">
      <alignment horizontal="general" vertical="bottom"/>
    </xf>
    <xf numFmtId="0" fontId="58" fillId="14" borderId="111" applyAlignment="1" pivotButton="0" quotePrefix="0" xfId="0">
      <alignment horizontal="general" vertical="bottom"/>
    </xf>
    <xf numFmtId="0" fontId="8" fillId="0" borderId="110" applyAlignment="1" pivotButton="0" quotePrefix="0" xfId="0">
      <alignment horizontal="general" vertical="bottom"/>
    </xf>
    <xf numFmtId="0" fontId="8" fillId="13" borderId="112" applyAlignment="1" applyProtection="1" pivotButton="0" quotePrefix="0" xfId="0">
      <alignment horizontal="general" vertical="bottom"/>
      <protection locked="0" hidden="0"/>
    </xf>
    <xf numFmtId="0" fontId="58" fillId="14" borderId="113" applyAlignment="1" applyProtection="1" pivotButton="0" quotePrefix="0" xfId="0">
      <alignment horizontal="general" vertical="bottom"/>
      <protection locked="0" hidden="0"/>
    </xf>
    <xf numFmtId="0" fontId="8" fillId="2" borderId="114" applyAlignment="1" applyProtection="1" pivotButton="0" quotePrefix="0" xfId="0">
      <alignment horizontal="general" vertical="bottom"/>
      <protection locked="0" hidden="0"/>
    </xf>
    <xf numFmtId="0" fontId="8" fillId="13" borderId="115" applyAlignment="1" applyProtection="1" pivotButton="0" quotePrefix="0" xfId="0">
      <alignment horizontal="general" vertical="bottom"/>
      <protection locked="0" hidden="0"/>
    </xf>
    <xf numFmtId="0" fontId="58" fillId="14" borderId="116" applyAlignment="1" applyProtection="1" pivotButton="0" quotePrefix="0" xfId="0">
      <alignment horizontal="general" vertical="bottom"/>
      <protection locked="0" hidden="0"/>
    </xf>
    <xf numFmtId="0" fontId="8" fillId="13" borderId="117" applyAlignment="1" applyProtection="1" pivotButton="0" quotePrefix="0" xfId="0">
      <alignment horizontal="general" vertical="bottom"/>
      <protection locked="0" hidden="0"/>
    </xf>
    <xf numFmtId="0" fontId="58" fillId="14" borderId="118" applyAlignment="1" applyProtection="1" pivotButton="0" quotePrefix="0" xfId="0">
      <alignment horizontal="general" vertical="bottom"/>
      <protection locked="0" hidden="0"/>
    </xf>
    <xf numFmtId="0" fontId="8" fillId="2" borderId="110" applyAlignment="1" applyProtection="1" pivotButton="0" quotePrefix="0" xfId="0">
      <alignment horizontal="general" vertical="bottom"/>
      <protection locked="0" hidden="0"/>
    </xf>
    <xf numFmtId="0" fontId="8" fillId="13" borderId="119" applyAlignment="1" pivotButton="0" quotePrefix="0" xfId="0">
      <alignment horizontal="general" vertical="bottom"/>
    </xf>
    <xf numFmtId="0" fontId="58" fillId="14" borderId="120" applyAlignment="1" pivotButton="0" quotePrefix="0" xfId="0">
      <alignment horizontal="general" vertical="bottom"/>
    </xf>
    <xf numFmtId="0" fontId="8" fillId="0" borderId="119" applyAlignment="1" pivotButton="0" quotePrefix="0" xfId="0">
      <alignment horizontal="general" vertical="bottom"/>
    </xf>
    <xf numFmtId="0" fontId="8" fillId="2" borderId="61" applyAlignment="1" pivotButton="0" quotePrefix="0" xfId="0">
      <alignment horizontal="general" vertical="bottom"/>
    </xf>
    <xf numFmtId="0" fontId="8" fillId="2" borderId="75" applyAlignment="1" pivotButton="0" quotePrefix="0" xfId="0">
      <alignment horizontal="general" vertical="bottom"/>
    </xf>
    <xf numFmtId="0" fontId="56" fillId="13" borderId="73" applyAlignment="1" pivotButton="0" quotePrefix="0" xfId="0">
      <alignment horizontal="general" vertical="bottom"/>
    </xf>
    <xf numFmtId="167" fontId="59" fillId="10" borderId="111" applyAlignment="1" pivotButton="0" quotePrefix="0" xfId="0">
      <alignment horizontal="right" vertical="bottom" indent="1"/>
    </xf>
    <xf numFmtId="0" fontId="8" fillId="13" borderId="76" applyAlignment="1" applyProtection="1" pivotButton="0" quotePrefix="0" xfId="0">
      <alignment horizontal="general" vertical="bottom"/>
      <protection locked="0" hidden="0"/>
    </xf>
    <xf numFmtId="0" fontId="8" fillId="13" borderId="121" applyAlignment="1" applyProtection="1" pivotButton="0" quotePrefix="0" xfId="0">
      <alignment horizontal="general" vertical="bottom"/>
      <protection locked="0" hidden="0"/>
    </xf>
    <xf numFmtId="0" fontId="60" fillId="15" borderId="122" applyAlignment="1" applyProtection="1" pivotButton="0" quotePrefix="0" xfId="0">
      <alignment horizontal="general" vertical="bottom"/>
      <protection locked="0" hidden="0"/>
    </xf>
    <xf numFmtId="0" fontId="8" fillId="2" borderId="119" applyAlignment="1" applyProtection="1" pivotButton="0" quotePrefix="0" xfId="0">
      <alignment horizontal="general" vertical="bottom"/>
      <protection locked="0" hidden="0"/>
    </xf>
    <xf numFmtId="0" fontId="61" fillId="10" borderId="123" applyAlignment="1" applyProtection="1" pivotButton="0" quotePrefix="0" xfId="0">
      <alignment horizontal="general" vertical="bottom"/>
      <protection locked="0" hidden="0"/>
    </xf>
    <xf numFmtId="0" fontId="61" fillId="10" borderId="124" applyAlignment="1" pivotButton="0" quotePrefix="0" xfId="0">
      <alignment horizontal="general" vertical="bottom"/>
    </xf>
    <xf numFmtId="0" fontId="62" fillId="10" borderId="124" applyAlignment="1" pivotButton="0" quotePrefix="0" xfId="0">
      <alignment horizontal="general" vertical="bottom"/>
    </xf>
    <xf numFmtId="0" fontId="61" fillId="10" borderId="125" applyAlignment="1" applyProtection="1" pivotButton="0" quotePrefix="0" xfId="0">
      <alignment horizontal="general" vertical="bottom"/>
      <protection locked="0" hidden="0"/>
    </xf>
    <xf numFmtId="0" fontId="61" fillId="10" borderId="126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89" applyAlignment="1" applyProtection="1" pivotButton="0" quotePrefix="0" xfId="0">
      <alignment horizontal="general" vertical="bottom"/>
      <protection locked="0" hidden="0"/>
    </xf>
    <xf numFmtId="0" fontId="56" fillId="13" borderId="109" applyAlignment="1" applyProtection="1" pivotButton="0" quotePrefix="0" xfId="0">
      <alignment horizontal="left" vertical="bottom"/>
      <protection locked="0" hidden="0"/>
    </xf>
    <xf numFmtId="0" fontId="56" fillId="13" borderId="89" applyAlignment="1" applyProtection="1" pivotButton="0" quotePrefix="0" xfId="0">
      <alignment horizontal="general" vertical="bottom"/>
      <protection locked="0" hidden="0"/>
    </xf>
    <xf numFmtId="0" fontId="56" fillId="13" borderId="127" applyAlignment="1" applyProtection="1" pivotButton="0" quotePrefix="0" xfId="0">
      <alignment horizontal="general" vertical="bottom"/>
      <protection locked="0" hidden="0"/>
    </xf>
    <xf numFmtId="0" fontId="59" fillId="10" borderId="128" applyAlignment="1" applyProtection="1" pivotButton="0" quotePrefix="0" xfId="0">
      <alignment horizontal="general" vertical="bottom"/>
      <protection locked="0" hidden="0"/>
    </xf>
    <xf numFmtId="0" fontId="8" fillId="2" borderId="129" applyAlignment="1" applyProtection="1" pivotButton="0" quotePrefix="0" xfId="0">
      <alignment horizontal="general" vertical="bottom"/>
      <protection locked="0" hidden="0"/>
    </xf>
    <xf numFmtId="0" fontId="56" fillId="13" borderId="130" applyAlignment="1" applyProtection="1" pivotButton="0" quotePrefix="0" xfId="0">
      <alignment horizontal="general" vertical="bottom"/>
      <protection locked="0" hidden="0"/>
    </xf>
    <xf numFmtId="0" fontId="58" fillId="14" borderId="131" applyAlignment="1" applyProtection="1" pivotButton="0" quotePrefix="0" xfId="0">
      <alignment horizontal="general" vertical="bottom"/>
      <protection locked="0" hidden="0"/>
    </xf>
    <xf numFmtId="0" fontId="8" fillId="2" borderId="132" applyAlignment="1" applyProtection="1" pivotButton="0" quotePrefix="0" xfId="0">
      <alignment horizontal="general" vertical="bottom"/>
      <protection locked="0" hidden="0"/>
    </xf>
    <xf numFmtId="0" fontId="56" fillId="13" borderId="133" applyAlignment="1" applyProtection="1" pivotButton="0" quotePrefix="0" xfId="0">
      <alignment horizontal="general" vertical="bottom"/>
      <protection locked="0" hidden="0"/>
    </xf>
    <xf numFmtId="0" fontId="58" fillId="14" borderId="1" applyAlignment="1" applyProtection="1" pivotButton="0" quotePrefix="0" xfId="0">
      <alignment horizontal="general" vertical="bottom"/>
      <protection locked="0" hidden="0"/>
    </xf>
    <xf numFmtId="0" fontId="8" fillId="2" borderId="134" applyAlignment="1" applyProtection="1" pivotButton="0" quotePrefix="0" xfId="0">
      <alignment horizontal="general" vertical="bottom"/>
      <protection locked="0" hidden="0"/>
    </xf>
    <xf numFmtId="0" fontId="59" fillId="10" borderId="1" applyAlignment="1" applyProtection="1" pivotButton="0" quotePrefix="0" xfId="0">
      <alignment horizontal="general" vertical="bottom"/>
      <protection locked="0" hidden="0"/>
    </xf>
    <xf numFmtId="1" fontId="59" fillId="10" borderId="1" applyAlignment="1" applyProtection="1" pivotButton="0" quotePrefix="0" xfId="0">
      <alignment horizontal="general" vertical="bottom"/>
      <protection locked="0" hidden="0"/>
    </xf>
    <xf numFmtId="0" fontId="56" fillId="13" borderId="135" applyAlignment="1" applyProtection="1" pivotButton="0" quotePrefix="0" xfId="0">
      <alignment horizontal="left" vertical="bottom"/>
      <protection locked="0" hidden="0"/>
    </xf>
    <xf numFmtId="172" fontId="59" fillId="10" borderId="136" applyAlignment="1" applyProtection="1" pivotButton="0" quotePrefix="0" xfId="0">
      <alignment horizontal="center" vertical="bottom"/>
      <protection locked="0" hidden="0"/>
    </xf>
    <xf numFmtId="164" fontId="4" fillId="0" borderId="0" applyAlignment="1" applyProtection="1" pivotButton="0" quotePrefix="0" xfId="28">
      <alignment horizontal="general" vertical="bottom"/>
      <protection locked="0" hidden="0"/>
    </xf>
    <xf numFmtId="0" fontId="11" fillId="3" borderId="3" applyAlignment="1" applyProtection="1" pivotButton="0" quotePrefix="0" xfId="0">
      <alignment horizontal="center" vertical="center"/>
      <protection locked="0" hidden="0"/>
    </xf>
    <xf numFmtId="1" fontId="20" fillId="2" borderId="0" applyAlignment="1" applyProtection="1" pivotButton="0" quotePrefix="0" xfId="0">
      <alignment horizontal="general" vertical="bottom"/>
      <protection locked="0" hidden="0"/>
    </xf>
    <xf numFmtId="0" fontId="13" fillId="2" borderId="14" applyAlignment="1" applyProtection="1" pivotButton="0" quotePrefix="0" xfId="0">
      <alignment horizontal="left" vertical="center"/>
      <protection locked="0" hidden="0"/>
    </xf>
    <xf numFmtId="0" fontId="41" fillId="4" borderId="2" applyAlignment="1" pivotButton="0" quotePrefix="0" xfId="0">
      <alignment horizontal="center" vertical="center"/>
    </xf>
    <xf numFmtId="0" fontId="13" fillId="2" borderId="13" applyAlignment="1" applyProtection="1" pivotButton="0" quotePrefix="0" xfId="0">
      <alignment horizontal="left" vertical="center"/>
      <protection locked="0" hidden="0"/>
    </xf>
    <xf numFmtId="0" fontId="4" fillId="4" borderId="14" applyAlignment="1" pivotButton="0" quotePrefix="0" xfId="0">
      <alignment horizontal="center" vertical="center"/>
    </xf>
    <xf numFmtId="0" fontId="4" fillId="2" borderId="5" applyAlignment="1" applyProtection="1" pivotButton="0" quotePrefix="0" xfId="0">
      <alignment horizontal="general" vertical="bottom"/>
      <protection locked="0" hidden="0"/>
    </xf>
    <xf numFmtId="0" fontId="4" fillId="2" borderId="6" applyAlignment="1" applyProtection="1" pivotButton="0" quotePrefix="0" xfId="0">
      <alignment horizontal="general" vertical="bottom"/>
      <protection locked="0" hidden="0"/>
    </xf>
    <xf numFmtId="0" fontId="4" fillId="2" borderId="7" applyAlignment="1" applyProtection="1" pivotButton="0" quotePrefix="0" xfId="0">
      <alignment horizontal="general" vertical="bottom"/>
      <protection locked="0" hidden="0"/>
    </xf>
    <xf numFmtId="0" fontId="4" fillId="2" borderId="9" applyAlignment="1" applyProtection="1" pivotButton="0" quotePrefix="0" xfId="0">
      <alignment horizontal="general" vertical="bottom"/>
      <protection locked="0" hidden="0"/>
    </xf>
    <xf numFmtId="0" fontId="4" fillId="2" borderId="10" applyAlignment="1" applyProtection="1" pivotButton="0" quotePrefix="0" xfId="0">
      <alignment horizontal="general" vertical="bottom"/>
      <protection locked="0" hidden="0"/>
    </xf>
    <xf numFmtId="0" fontId="63" fillId="2" borderId="0" applyAlignment="1" applyProtection="1" pivotButton="0" quotePrefix="0" xfId="0">
      <alignment horizontal="general" vertical="bottom"/>
      <protection locked="0" hidden="0"/>
    </xf>
    <xf numFmtId="0" fontId="14" fillId="5" borderId="3" applyAlignment="1" applyProtection="1" pivotButton="0" quotePrefix="0" xfId="0">
      <alignment horizontal="center" vertical="center"/>
      <protection locked="0" hidden="0"/>
    </xf>
    <xf numFmtId="0" fontId="14" fillId="5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general" vertical="bottom"/>
      <protection locked="0" hidden="0"/>
    </xf>
    <xf numFmtId="0" fontId="13" fillId="2" borderId="3" applyAlignment="1" applyProtection="1" pivotButton="0" quotePrefix="0" xfId="0">
      <alignment horizontal="general" vertical="bottom"/>
      <protection locked="0" hidden="0"/>
    </xf>
    <xf numFmtId="0" fontId="13" fillId="2" borderId="1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left" vertical="bottom"/>
      <protection locked="0" hidden="0"/>
    </xf>
    <xf numFmtId="0" fontId="13" fillId="2" borderId="3" applyAlignment="1" applyProtection="1" pivotButton="0" quotePrefix="0" xfId="0">
      <alignment horizontal="center" vertical="bottom"/>
      <protection locked="0" hidden="0"/>
    </xf>
    <xf numFmtId="0" fontId="22" fillId="0" borderId="1" applyAlignment="1" pivotButton="0" quotePrefix="0" xfId="0">
      <alignment horizontal="center" vertical="center"/>
    </xf>
    <xf numFmtId="166" fontId="4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general" vertical="center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0" fontId="13" fillId="2" borderId="12" applyAlignment="1" applyProtection="1" pivotButton="0" quotePrefix="0" xfId="0">
      <alignment horizontal="left" vertical="bottom"/>
      <protection locked="0" hidden="0"/>
    </xf>
    <xf numFmtId="0" fontId="13" fillId="2" borderId="9" applyAlignment="1" applyProtection="1" pivotButton="0" quotePrefix="0" xfId="0">
      <alignment horizontal="general" vertical="bottom"/>
      <protection locked="0" hidden="0"/>
    </xf>
    <xf numFmtId="0" fontId="18" fillId="3" borderId="12" applyAlignment="1" pivotButton="0" quotePrefix="0" xfId="0">
      <alignment horizontal="center" vertical="center"/>
    </xf>
    <xf numFmtId="167" fontId="17" fillId="2" borderId="10" applyAlignment="1" pivotButton="0" quotePrefix="0" xfId="0">
      <alignment horizontal="center" vertical="center"/>
    </xf>
    <xf numFmtId="0" fontId="13" fillId="2" borderId="12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167" fontId="13" fillId="2" borderId="0" applyAlignment="1" pivotButton="0" quotePrefix="0" xfId="0">
      <alignment horizontal="center" vertical="bottom"/>
    </xf>
    <xf numFmtId="0" fontId="13" fillId="2" borderId="8" applyAlignment="1" applyProtection="1" pivotButton="0" quotePrefix="0" xfId="0">
      <alignment horizontal="left" vertical="bottom"/>
      <protection locked="0" hidden="0"/>
    </xf>
    <xf numFmtId="0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center" vertical="center"/>
    </xf>
    <xf numFmtId="0" fontId="13" fillId="2" borderId="8" applyAlignment="1" applyProtection="1" pivotButton="0" quotePrefix="0" xfId="0">
      <alignment horizontal="left" vertical="center"/>
      <protection locked="0" hidden="0"/>
    </xf>
    <xf numFmtId="0" fontId="13" fillId="2" borderId="2" applyAlignment="1" applyProtection="1" pivotButton="0" quotePrefix="0" xfId="0">
      <alignment horizontal="left" vertical="bottom"/>
      <protection locked="0" hidden="0"/>
    </xf>
    <xf numFmtId="0" fontId="18" fillId="3" borderId="2" applyAlignment="1" applyProtection="1" pivotButton="0" quotePrefix="0" xfId="0">
      <alignment horizontal="center" vertical="center"/>
      <protection locked="0" hidden="0"/>
    </xf>
    <xf numFmtId="0" fontId="17" fillId="2" borderId="10" applyAlignment="1" applyProtection="1" pivotButton="0" quotePrefix="0" xfId="0">
      <alignment horizontal="center" vertical="center"/>
      <protection locked="0" hidden="0"/>
    </xf>
    <xf numFmtId="0" fontId="18" fillId="3" borderId="8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bottom"/>
      <protection locked="0" hidden="0"/>
    </xf>
    <xf numFmtId="0" fontId="41" fillId="2" borderId="0" applyAlignment="1" applyProtection="1" pivotButton="0" quotePrefix="0" xfId="0">
      <alignment horizontal="general" vertical="center"/>
      <protection locked="0" hidden="0"/>
    </xf>
    <xf numFmtId="0" fontId="64" fillId="2" borderId="3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center" vertical="center"/>
      <protection locked="0" hidden="0"/>
    </xf>
    <xf numFmtId="20" fontId="13" fillId="2" borderId="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171" fontId="13" fillId="4" borderId="12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29" applyAlignment="1" pivotButton="0" quotePrefix="0" xfId="0">
      <alignment horizontal="center" vertical="bottom"/>
    </xf>
    <xf numFmtId="0" fontId="13" fillId="2" borderId="1" applyAlignment="1" applyProtection="1" pivotButton="0" quotePrefix="0" xfId="0">
      <alignment horizontal="left" vertical="center"/>
      <protection locked="0" hidden="0"/>
    </xf>
    <xf numFmtId="175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general" vertical="center"/>
      <protection locked="0" hidden="0"/>
    </xf>
    <xf numFmtId="175" fontId="13" fillId="4" borderId="1" applyAlignment="1" pivotButton="0" quotePrefix="0" xfId="0">
      <alignment horizontal="center" vertical="center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0" fontId="27" fillId="4" borderId="2" applyAlignment="1" applyProtection="1" pivotButton="0" quotePrefix="0" xfId="0">
      <alignment horizontal="center" vertical="bottom"/>
      <protection locked="0" hidden="0"/>
    </xf>
    <xf numFmtId="0" fontId="13" fillId="4" borderId="2" applyAlignment="1" applyProtection="1" pivotButton="0" quotePrefix="0" xfId="0">
      <alignment horizontal="center" vertical="bottom"/>
      <protection locked="0" hidden="0"/>
    </xf>
    <xf numFmtId="0" fontId="13" fillId="2" borderId="2" applyAlignment="1" applyProtection="1" pivotButton="0" quotePrefix="0" xfId="0">
      <alignment horizontal="center" vertical="bottom"/>
      <protection locked="0" hidden="0"/>
    </xf>
    <xf numFmtId="2" fontId="27" fillId="2" borderId="0" applyAlignment="1" applyProtection="1" pivotButton="0" quotePrefix="0" xfId="0">
      <alignment horizontal="center" vertical="bottom"/>
      <protection locked="0" hidden="0"/>
    </xf>
    <xf numFmtId="0" fontId="15" fillId="2" borderId="1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left" vertical="top" wrapText="1"/>
      <protection locked="0" hidden="0"/>
    </xf>
    <xf numFmtId="1" fontId="27" fillId="2" borderId="0" applyAlignment="1" applyProtection="1" pivotButton="0" quotePrefix="0" xfId="0">
      <alignment horizontal="general" vertical="bottom"/>
      <protection locked="0" hidden="0"/>
    </xf>
    <xf numFmtId="0" fontId="13" fillId="4" borderId="137" applyAlignment="1" applyProtection="1" pivotButton="0" quotePrefix="0" xfId="0">
      <alignment horizontal="center" vertical="center"/>
      <protection locked="0" hidden="0"/>
    </xf>
    <xf numFmtId="0" fontId="13" fillId="2" borderId="57" applyAlignment="1" applyProtection="1" pivotButton="0" quotePrefix="0" xfId="0">
      <alignment horizontal="general" vertical="center"/>
      <protection locked="0" hidden="0"/>
    </xf>
    <xf numFmtId="0" fontId="13" fillId="2" borderId="55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1" applyAlignment="1" applyProtection="1" pivotButton="0" quotePrefix="0" xfId="0">
      <alignment horizontal="center" vertical="bottom"/>
      <protection locked="0" hidden="0"/>
    </xf>
    <xf numFmtId="0" fontId="13" fillId="4" borderId="15" applyAlignment="1" applyProtection="1" pivotButton="0" quotePrefix="0" xfId="0">
      <alignment horizontal="center" vertical="center"/>
      <protection locked="0" hidden="0"/>
    </xf>
    <xf numFmtId="0" fontId="13" fillId="4" borderId="15" applyAlignment="1" applyProtection="1" pivotButton="0" quotePrefix="0" xfId="0">
      <alignment horizontal="center" vertical="bottom"/>
      <protection locked="0" hidden="0"/>
    </xf>
    <xf numFmtId="49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general" vertical="center"/>
      <protection locked="0" hidden="0"/>
    </xf>
    <xf numFmtId="0" fontId="27" fillId="2" borderId="0" applyAlignment="1" applyProtection="1" pivotButton="0" quotePrefix="0" xfId="0">
      <alignment horizontal="center" vertical="center"/>
      <protection locked="0" hidden="0"/>
    </xf>
    <xf numFmtId="0" fontId="13" fillId="2" borderId="8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general" vertical="center"/>
      <protection locked="0" hidden="0"/>
    </xf>
    <xf numFmtId="0" fontId="13" fillId="2" borderId="9" applyAlignment="1" applyProtection="1" pivotButton="0" quotePrefix="0" xfId="0">
      <alignment horizontal="general" vertical="center"/>
      <protection locked="0" hidden="0"/>
    </xf>
    <xf numFmtId="0" fontId="13" fillId="0" borderId="13" applyAlignment="1" applyProtection="1" pivotButton="0" quotePrefix="0" xfId="0">
      <alignment horizontal="center" vertical="center"/>
      <protection locked="0" hidden="0"/>
    </xf>
    <xf numFmtId="0" fontId="13" fillId="2" borderId="2" applyAlignment="1" applyProtection="1" pivotButton="0" quotePrefix="0" xfId="0">
      <alignment horizontal="general" vertical="center"/>
      <protection locked="0" hidden="0"/>
    </xf>
    <xf numFmtId="0" fontId="13" fillId="2" borderId="14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bottom"/>
      <protection locked="0" hidden="0"/>
    </xf>
    <xf numFmtId="0" fontId="13" fillId="4" borderId="1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left" vertical="bottom"/>
      <protection locked="0" hidden="0"/>
    </xf>
    <xf numFmtId="0" fontId="13" fillId="0" borderId="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top"/>
      <protection locked="0" hidden="0"/>
    </xf>
    <xf numFmtId="0" fontId="13" fillId="4" borderId="1" applyAlignment="1" applyProtection="1" pivotButton="0" quotePrefix="0" xfId="0">
      <alignment horizontal="center" vertical="top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applyProtection="1" pivotButton="0" quotePrefix="0" xfId="0">
      <alignment horizontal="left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29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center"/>
      <protection locked="0" hidden="0"/>
    </xf>
    <xf numFmtId="0" fontId="65" fillId="16" borderId="0" applyAlignment="1" applyProtection="1" pivotButton="0" quotePrefix="0" xfId="0">
      <alignment horizontal="general" vertical="bottom"/>
      <protection locked="0" hidden="0"/>
    </xf>
    <xf numFmtId="0" fontId="66" fillId="16" borderId="0" applyAlignment="1" applyProtection="1" pivotButton="0" quotePrefix="0" xfId="0">
      <alignment horizontal="general" vertical="bottom"/>
      <protection locked="0" hidden="0"/>
    </xf>
    <xf numFmtId="0" fontId="13" fillId="2" borderId="12" applyAlignment="1" applyProtection="1" pivotButton="0" quotePrefix="0" xfId="0">
      <alignment horizontal="general" vertical="bottom"/>
      <protection locked="0" hidden="0"/>
    </xf>
    <xf numFmtId="0" fontId="13" fillId="4" borderId="25" applyAlignment="1" applyProtection="1" pivotButton="0" quotePrefix="0" xfId="0">
      <alignment horizontal="general" vertical="bottom"/>
      <protection locked="0" hidden="0"/>
    </xf>
    <xf numFmtId="0" fontId="13" fillId="4" borderId="27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center"/>
      <protection locked="0" hidden="0"/>
    </xf>
    <xf numFmtId="0" fontId="13" fillId="4" borderId="27" applyAlignment="1" applyProtection="1" pivotButton="0" quotePrefix="0" xfId="0">
      <alignment horizontal="center" vertical="center"/>
      <protection locked="0" hidden="0"/>
    </xf>
    <xf numFmtId="0" fontId="13" fillId="4" borderId="12" applyAlignment="1" applyProtection="1" pivotButton="0" quotePrefix="0" xfId="0">
      <alignment horizontal="center" vertical="bottom"/>
      <protection locked="0" hidden="0"/>
    </xf>
    <xf numFmtId="0" fontId="13" fillId="0" borderId="25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general" vertical="bottom"/>
      <protection locked="0" hidden="0"/>
    </xf>
    <xf numFmtId="0" fontId="13" fillId="4" borderId="15" applyAlignment="1" applyProtection="1" pivotButton="0" quotePrefix="0" xfId="0">
      <alignment horizontal="general" vertical="bottom"/>
      <protection locked="0" hidden="0"/>
    </xf>
    <xf numFmtId="0" fontId="13" fillId="4" borderId="16" applyAlignment="1" applyProtection="1" pivotButton="0" quotePrefix="0" xfId="0">
      <alignment horizontal="general" vertical="bottom"/>
      <protection locked="0" hidden="0"/>
    </xf>
    <xf numFmtId="0" fontId="13" fillId="2" borderId="15" applyAlignment="1" applyProtection="1" pivotButton="0" quotePrefix="0" xfId="0">
      <alignment horizontal="general" vertical="bottom"/>
      <protection locked="0" hidden="0"/>
    </xf>
    <xf numFmtId="0" fontId="13" fillId="4" borderId="19" applyAlignment="1" applyProtection="1" pivotButton="0" quotePrefix="0" xfId="0">
      <alignment horizontal="center" vertical="center"/>
      <protection locked="0" hidden="0"/>
    </xf>
    <xf numFmtId="0" fontId="13" fillId="4" borderId="39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left" vertical="center"/>
      <protection locked="0" hidden="0"/>
    </xf>
    <xf numFmtId="0" fontId="21" fillId="4" borderId="0" applyAlignment="1" applyProtection="1" pivotButton="0" quotePrefix="0" xfId="0">
      <alignment horizontal="center" vertical="bottom"/>
      <protection locked="0" hidden="0"/>
    </xf>
    <xf numFmtId="0" fontId="13" fillId="4" borderId="16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1" fontId="4" fillId="2" borderId="0" applyAlignment="1" applyProtection="1" pivotButton="0" quotePrefix="0" xfId="0">
      <alignment horizontal="center" vertical="bottom"/>
      <protection locked="0" hidden="0"/>
    </xf>
    <xf numFmtId="167" fontId="4" fillId="2" borderId="0" applyAlignment="1" applyProtection="1" pivotButton="0" quotePrefix="0" xfId="0">
      <alignment horizontal="center" vertical="bottom"/>
      <protection locked="0" hidden="0"/>
    </xf>
    <xf numFmtId="0" fontId="13" fillId="2" borderId="26" applyAlignment="1" applyProtection="1" pivotButton="0" quotePrefix="0" xfId="0">
      <alignment horizontal="general" vertical="bottom"/>
      <protection locked="0" hidden="0"/>
    </xf>
    <xf numFmtId="0" fontId="13" fillId="2" borderId="19" applyAlignment="1" applyProtection="1" pivotButton="0" quotePrefix="0" xfId="0">
      <alignment horizontal="general" vertical="bottom"/>
      <protection locked="0" hidden="0"/>
    </xf>
    <xf numFmtId="0" fontId="13" fillId="2" borderId="26" applyAlignment="1" applyProtection="1" pivotButton="0" quotePrefix="0" xfId="0">
      <alignment horizontal="general" vertical="center"/>
      <protection locked="0" hidden="0"/>
    </xf>
    <xf numFmtId="0" fontId="13" fillId="2" borderId="19" applyAlignment="1" applyProtection="1" pivotButton="0" quotePrefix="0" xfId="0">
      <alignment horizontal="center" vertical="center"/>
      <protection locked="0" hidden="0"/>
    </xf>
    <xf numFmtId="0" fontId="13" fillId="0" borderId="39" applyAlignment="1" applyProtection="1" pivotButton="0" quotePrefix="0" xfId="0">
      <alignment horizontal="center" vertical="bottom"/>
      <protection locked="0" hidden="0"/>
    </xf>
    <xf numFmtId="0" fontId="13" fillId="0" borderId="26" applyAlignment="1" applyProtection="1" pivotButton="0" quotePrefix="0" xfId="0">
      <alignment horizontal="left" vertical="center"/>
      <protection locked="0" hidden="0"/>
    </xf>
    <xf numFmtId="0" fontId="64" fillId="2" borderId="0" applyAlignment="1" applyProtection="1" pivotButton="0" quotePrefix="0" xfId="0">
      <alignment horizontal="center" vertical="bottom"/>
      <protection locked="0" hidden="0"/>
    </xf>
    <xf numFmtId="0" fontId="13" fillId="2" borderId="16" applyAlignment="1" applyProtection="1" pivotButton="0" quotePrefix="0" xfId="0">
      <alignment horizontal="general" vertical="bottom"/>
      <protection locked="0" hidden="0"/>
    </xf>
    <xf numFmtId="0" fontId="21" fillId="4" borderId="0" applyAlignment="1" applyProtection="1" pivotButton="0" quotePrefix="0" xfId="0">
      <alignment horizontal="general" vertical="bottom"/>
      <protection locked="0" hidden="0"/>
    </xf>
    <xf numFmtId="0" fontId="13" fillId="2" borderId="16" applyAlignment="1" applyProtection="1" pivotButton="0" quotePrefix="0" xfId="0">
      <alignment horizontal="center" vertical="center"/>
      <protection locked="0" hidden="0"/>
    </xf>
    <xf numFmtId="0" fontId="67" fillId="2" borderId="9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center" vertical="bottom"/>
      <protection locked="0" hidden="0"/>
    </xf>
    <xf numFmtId="0" fontId="13" fillId="2" borderId="57" applyAlignment="1" applyProtection="1" pivotButton="0" quotePrefix="0" xfId="0">
      <alignment horizontal="general" vertical="bottom"/>
      <protection locked="0" hidden="0"/>
    </xf>
    <xf numFmtId="0" fontId="13" fillId="2" borderId="8" applyAlignment="1" applyProtection="1" pivotButton="0" quotePrefix="0" xfId="0">
      <alignment horizontal="general" vertical="center"/>
      <protection locked="0" hidden="0"/>
    </xf>
    <xf numFmtId="0" fontId="13" fillId="2" borderId="15" applyAlignment="1" applyProtection="1" pivotButton="0" quotePrefix="0" xfId="0">
      <alignment horizontal="center" vertical="center"/>
      <protection locked="0" hidden="0"/>
    </xf>
    <xf numFmtId="0" fontId="13" fillId="2" borderId="137" applyAlignment="1" applyProtection="1" pivotButton="0" quotePrefix="0" xfId="0">
      <alignment horizontal="general" vertical="center"/>
      <protection locked="0" hidden="0"/>
    </xf>
    <xf numFmtId="0" fontId="13" fillId="2" borderId="137" applyAlignment="1" applyProtection="1" pivotButton="0" quotePrefix="0" xfId="0">
      <alignment horizontal="center" vertical="center"/>
      <protection locked="0" hidden="0"/>
    </xf>
    <xf numFmtId="0" fontId="13" fillId="0" borderId="57" applyAlignment="1" applyProtection="1" pivotButton="0" quotePrefix="0" xfId="0">
      <alignment horizontal="left" vertical="center"/>
      <protection locked="0" hidden="0"/>
    </xf>
    <xf numFmtId="0" fontId="13" fillId="0" borderId="1" applyAlignment="1" applyProtection="1" pivotButton="0" quotePrefix="0" xfId="0">
      <alignment horizontal="center" vertical="bottom"/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13" fillId="0" borderId="9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4" borderId="1" applyAlignment="1" applyProtection="1" pivotButton="0" quotePrefix="0" xfId="0">
      <alignment horizontal="left" vertical="bottom"/>
      <protection locked="0" hidden="0"/>
    </xf>
    <xf numFmtId="0" fontId="13" fillId="4" borderId="29" applyAlignment="1" applyProtection="1" pivotButton="0" quotePrefix="0" xfId="0">
      <alignment horizontal="general" vertical="bottom"/>
      <protection locked="0" hidden="0"/>
    </xf>
    <xf numFmtId="0" fontId="13" fillId="4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14" applyAlignment="1" applyProtection="1" pivotButton="0" quotePrefix="0" xfId="0">
      <alignment horizontal="general" vertical="center"/>
      <protection locked="0" hidden="0"/>
    </xf>
    <xf numFmtId="0" fontId="13" fillId="4" borderId="3" applyAlignment="1" applyProtection="1" pivotButton="0" quotePrefix="0" xfId="0">
      <alignment horizontal="center" vertical="bottom"/>
      <protection locked="0" hidden="0"/>
    </xf>
    <xf numFmtId="0" fontId="4" fillId="2" borderId="11" applyAlignment="1" applyProtection="1" pivotButton="0" quotePrefix="0" xfId="0">
      <alignment horizontal="center" vertical="bottom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1" fontId="7" fillId="4" borderId="1" applyAlignment="1" pivotButton="0" quotePrefix="0" xfId="0">
      <alignment horizontal="center" vertical="center"/>
    </xf>
    <xf numFmtId="167" fontId="49" fillId="2" borderId="0" applyAlignment="1" pivotButton="0" quotePrefix="0" xfId="28">
      <alignment horizontal="center" vertical="bottom"/>
    </xf>
    <xf numFmtId="0" fontId="1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1" fillId="5" borderId="11" applyAlignment="1" pivotButton="0" quotePrefix="0" xfId="0">
      <alignment horizontal="center" vertical="center"/>
    </xf>
    <xf numFmtId="0" fontId="14" fillId="5" borderId="3" applyAlignment="1" pivotButton="0" quotePrefix="0" xfId="0">
      <alignment horizontal="general" vertical="bottom"/>
    </xf>
    <xf numFmtId="0" fontId="14" fillId="5" borderId="29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bottom"/>
    </xf>
    <xf numFmtId="0" fontId="14" fillId="2" borderId="8" applyAlignment="1" pivotButton="0" quotePrefix="0" xfId="0">
      <alignment horizontal="center" vertical="bottom"/>
    </xf>
    <xf numFmtId="0" fontId="4" fillId="2" borderId="12" applyAlignment="1" pivotButton="0" quotePrefix="0" xfId="0">
      <alignment horizontal="center" vertical="bottom"/>
    </xf>
    <xf numFmtId="0" fontId="4" fillId="0" borderId="8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bottom"/>
    </xf>
    <xf numFmtId="1" fontId="15" fillId="10" borderId="3" applyAlignment="1" applyProtection="1" pivotButton="0" quotePrefix="0" xfId="0">
      <alignment horizontal="left" vertical="bottom"/>
      <protection locked="0" hidden="0"/>
    </xf>
    <xf numFmtId="1" fontId="15" fillId="10" borderId="1" applyAlignment="1" applyProtection="1" pivotButton="0" quotePrefix="0" xfId="0">
      <alignment horizontal="general" vertical="bottom"/>
      <protection locked="0" hidden="0"/>
    </xf>
    <xf numFmtId="0" fontId="68" fillId="0" borderId="1" applyAlignment="1" applyProtection="1" pivotButton="0" quotePrefix="0" xfId="0">
      <alignment horizontal="center" vertical="center"/>
      <protection locked="0" hidden="0"/>
    </xf>
    <xf numFmtId="0" fontId="7" fillId="2" borderId="8" applyAlignment="1" pivotButton="0" quotePrefix="0" xfId="0">
      <alignment horizontal="center" vertical="bottom"/>
    </xf>
    <xf numFmtId="171" fontId="4" fillId="4" borderId="22" applyAlignment="1" applyProtection="1" pivotButton="0" quotePrefix="0" xfId="0">
      <alignment horizontal="left" vertical="center"/>
      <protection locked="0" hidden="0"/>
    </xf>
    <xf numFmtId="0" fontId="4" fillId="4" borderId="57" applyAlignment="1" applyProtection="1" pivotButton="0" quotePrefix="0" xfId="0">
      <alignment horizontal="left" vertical="center"/>
      <protection locked="0" hidden="0"/>
    </xf>
    <xf numFmtId="167" fontId="15" fillId="10" borderId="3" applyAlignment="1" applyProtection="1" pivotButton="0" quotePrefix="0" xfId="0">
      <alignment horizontal="left" vertical="bottom"/>
      <protection locked="0" hidden="0"/>
    </xf>
    <xf numFmtId="0" fontId="15" fillId="10" borderId="1" applyAlignment="1" applyProtection="1" pivotButton="0" quotePrefix="0" xfId="0">
      <alignment horizontal="general" vertical="bottom"/>
      <protection locked="0" hidden="0"/>
    </xf>
    <xf numFmtId="175" fontId="4" fillId="4" borderId="2" applyAlignment="1" applyProtection="1" pivotButton="0" quotePrefix="0" xfId="0">
      <alignment horizontal="left" vertical="center"/>
      <protection locked="0" hidden="0"/>
    </xf>
    <xf numFmtId="0" fontId="31" fillId="0" borderId="25" applyAlignment="1" pivotButton="0" quotePrefix="0" xfId="0">
      <alignment horizontal="left" vertical="center"/>
    </xf>
    <xf numFmtId="0" fontId="15" fillId="10" borderId="3" applyAlignment="1" applyProtection="1" pivotButton="0" quotePrefix="0" xfId="0">
      <alignment horizontal="left" vertical="bottom"/>
      <protection locked="0" hidden="0"/>
    </xf>
    <xf numFmtId="0" fontId="21" fillId="2" borderId="8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" fontId="4" fillId="4" borderId="25" applyAlignment="1" applyProtection="1" pivotButton="0" quotePrefix="0" xfId="0">
      <alignment horizontal="center" vertical="center"/>
      <protection locked="0" hidden="0"/>
    </xf>
    <xf numFmtId="1" fontId="4" fillId="4" borderId="18" applyAlignment="1" applyProtection="1" pivotButton="0" quotePrefix="0" xfId="0">
      <alignment horizontal="center" vertical="center"/>
      <protection locked="0" hidden="0"/>
    </xf>
    <xf numFmtId="1" fontId="4" fillId="4" borderId="57" applyAlignment="1" applyProtection="1" pivotButton="0" quotePrefix="0" xfId="0">
      <alignment horizontal="center" vertical="center"/>
      <protection locked="0" hidden="0"/>
    </xf>
    <xf numFmtId="1" fontId="4" fillId="4" borderId="56" applyAlignment="1" applyProtection="1" pivotButton="0" quotePrefix="0" xfId="0">
      <alignment horizontal="center" vertical="center"/>
      <protection locked="0" hidden="0"/>
    </xf>
    <xf numFmtId="0" fontId="21" fillId="5" borderId="1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center"/>
    </xf>
    <xf numFmtId="0" fontId="4" fillId="1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bottom"/>
    </xf>
    <xf numFmtId="0" fontId="4" fillId="4" borderId="1" applyAlignment="1" applyProtection="1" pivotButton="0" quotePrefix="0" xfId="0">
      <alignment horizontal="center" vertical="bottom"/>
      <protection locked="0" hidden="0"/>
    </xf>
    <xf numFmtId="0" fontId="13" fillId="4" borderId="3" applyAlignment="1" applyProtection="1" pivotButton="0" quotePrefix="0" xfId="0">
      <alignment horizontal="center" vertical="center"/>
      <protection locked="0" hidden="0"/>
    </xf>
    <xf numFmtId="0" fontId="13" fillId="4" borderId="29" applyAlignment="1" applyProtection="1" pivotButton="0" quotePrefix="0" xfId="0">
      <alignment horizontal="center" vertical="center"/>
      <protection locked="0" hidden="0"/>
    </xf>
    <xf numFmtId="167" fontId="4" fillId="2" borderId="1" applyAlignment="1" pivotButton="0" quotePrefix="0" xfId="0">
      <alignment horizontal="left" vertical="center"/>
    </xf>
    <xf numFmtId="1" fontId="4" fillId="4" borderId="22" applyAlignment="1" applyProtection="1" pivotButton="0" quotePrefix="0" xfId="0">
      <alignment horizontal="center" vertical="center"/>
      <protection locked="0" hidden="0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bottom"/>
    </xf>
    <xf numFmtId="49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4" fillId="2" borderId="12" applyAlignment="1" pivotButton="0" quotePrefix="0" xfId="0">
      <alignment horizontal="center" vertical="center"/>
    </xf>
    <xf numFmtId="1" fontId="18" fillId="3" borderId="12" applyAlignment="1" pivotButton="0" quotePrefix="0" xfId="0">
      <alignment horizontal="center" vertical="center"/>
    </xf>
    <xf numFmtId="167" fontId="49" fillId="6" borderId="12" applyAlignment="1" pivotButton="0" quotePrefix="0" xfId="0">
      <alignment horizontal="center" vertical="bottom"/>
    </xf>
    <xf numFmtId="175" fontId="4" fillId="4" borderId="138" applyAlignment="1" applyProtection="1" pivotButton="0" quotePrefix="0" xfId="0">
      <alignment horizontal="center" vertical="center"/>
      <protection locked="0" hidden="0"/>
    </xf>
    <xf numFmtId="0" fontId="8" fillId="7" borderId="2" applyAlignment="1" pivotButton="0" quotePrefix="0" xfId="0">
      <alignment horizontal="general" vertical="bottom"/>
    </xf>
    <xf numFmtId="167" fontId="49" fillId="6" borderId="8" applyAlignment="1" pivotButton="0" quotePrefix="0" xfId="0">
      <alignment horizontal="center" vertical="bottom"/>
    </xf>
    <xf numFmtId="2" fontId="4" fillId="4" borderId="139" applyAlignment="1" applyProtection="1" pivotButton="0" quotePrefix="0" xfId="0">
      <alignment horizontal="center" vertical="center"/>
      <protection locked="0" hidden="0"/>
    </xf>
    <xf numFmtId="0" fontId="8" fillId="4" borderId="26" applyAlignment="1" pivotButton="0" quotePrefix="0" xfId="0">
      <alignment horizontal="general" vertical="bottom"/>
    </xf>
    <xf numFmtId="0" fontId="4" fillId="2" borderId="9" applyAlignment="1" pivotButton="0" quotePrefix="0" xfId="0">
      <alignment horizontal="center" vertical="bottom"/>
    </xf>
    <xf numFmtId="0" fontId="8" fillId="4" borderId="8" applyAlignment="1" pivotButton="0" quotePrefix="0" xfId="0">
      <alignment horizontal="general" vertical="bottom"/>
    </xf>
    <xf numFmtId="0" fontId="8" fillId="4" borderId="57" applyAlignment="1" pivotButton="0" quotePrefix="0" xfId="0">
      <alignment horizontal="general" vertical="bottom"/>
    </xf>
    <xf numFmtId="0" fontId="21" fillId="2" borderId="9" applyAlignment="1" pivotButton="0" quotePrefix="0" xfId="0">
      <alignment horizontal="left" vertical="top"/>
    </xf>
    <xf numFmtId="0" fontId="4" fillId="2" borderId="8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4" fillId="10" borderId="8" applyAlignment="1" pivotButton="0" quotePrefix="0" xfId="0">
      <alignment horizontal="left" vertical="center"/>
    </xf>
    <xf numFmtId="0" fontId="4" fillId="10" borderId="8" applyAlignment="1" pivotButton="0" quotePrefix="0" xfId="0">
      <alignment horizontal="center" vertical="center"/>
    </xf>
    <xf numFmtId="2" fontId="4" fillId="17" borderId="139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horizontal="general" vertical="bottom"/>
    </xf>
    <xf numFmtId="0" fontId="4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167" fontId="18" fillId="3" borderId="2" applyAlignment="1" pivotButton="0" quotePrefix="0" xfId="0">
      <alignment horizontal="center" vertical="center"/>
    </xf>
    <xf numFmtId="167" fontId="49" fillId="6" borderId="2" applyAlignment="1" pivotButton="0" quotePrefix="0" xfId="0">
      <alignment horizontal="center" vertical="bottom"/>
    </xf>
    <xf numFmtId="2" fontId="4" fillId="17" borderId="140" applyAlignment="1" applyProtection="1" pivotButton="0" quotePrefix="0" xfId="0">
      <alignment horizontal="center" vertical="center"/>
      <protection locked="0" hidden="0"/>
    </xf>
    <xf numFmtId="2" fontId="4" fillId="2" borderId="0" applyAlignment="1" pivotButton="0" quotePrefix="0" xfId="0">
      <alignment horizontal="general" vertical="bottom"/>
    </xf>
    <xf numFmtId="2" fontId="4" fillId="2" borderId="1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bottom"/>
    </xf>
    <xf numFmtId="0" fontId="69" fillId="2" borderId="0" applyAlignment="1" pivotButton="0" quotePrefix="0" xfId="0">
      <alignment horizontal="general" vertical="bottom"/>
    </xf>
    <xf numFmtId="167" fontId="27" fillId="2" borderId="25" applyAlignment="1" pivotButton="0" quotePrefix="0" xfId="0">
      <alignment horizontal="center" vertical="bottom"/>
    </xf>
    <xf numFmtId="0" fontId="70" fillId="2" borderId="0" applyAlignment="1" pivotButton="0" quotePrefix="0" xfId="0">
      <alignment horizontal="general" vertical="bottom"/>
    </xf>
    <xf numFmtId="0" fontId="21" fillId="2" borderId="5" applyAlignment="1" applyProtection="1" pivotButton="0" quotePrefix="0" xfId="0">
      <alignment horizontal="center" vertical="top" wrapText="1"/>
      <protection locked="0" hidden="0"/>
    </xf>
    <xf numFmtId="0" fontId="21" fillId="2" borderId="6" applyAlignment="1" applyProtection="1" pivotButton="0" quotePrefix="0" xfId="0">
      <alignment horizontal="left" vertical="top" wrapText="1"/>
      <protection locked="0" hidden="0"/>
    </xf>
    <xf numFmtId="0" fontId="21" fillId="2" borderId="7" applyAlignment="1" applyProtection="1" pivotButton="0" quotePrefix="0" xfId="0">
      <alignment horizontal="left" vertical="top" wrapText="1"/>
      <protection locked="0" hidden="0"/>
    </xf>
    <xf numFmtId="1" fontId="27" fillId="2" borderId="15" applyAlignment="1" pivotButton="0" quotePrefix="0" xfId="0">
      <alignment horizontal="center" vertical="bottom"/>
    </xf>
    <xf numFmtId="10" fontId="70" fillId="2" borderId="0" applyAlignment="1" pivotButton="0" quotePrefix="0" xfId="0">
      <alignment horizontal="general" vertical="bottom"/>
    </xf>
    <xf numFmtId="0" fontId="21" fillId="2" borderId="2" applyAlignment="1" applyProtection="1" pivotButton="0" quotePrefix="0" xfId="0">
      <alignment horizontal="center" vertical="top" wrapText="1"/>
      <protection locked="0" hidden="0"/>
    </xf>
    <xf numFmtId="0" fontId="69" fillId="2" borderId="22" applyAlignment="1" pivotButton="0" quotePrefix="0" xfId="0">
      <alignment horizontal="center" vertical="bottom"/>
    </xf>
    <xf numFmtId="0" fontId="21" fillId="12" borderId="13" applyAlignment="1" pivotButton="0" quotePrefix="0" xfId="0">
      <alignment horizontal="center" vertical="bottom"/>
    </xf>
    <xf numFmtId="0" fontId="4" fillId="12" borderId="0" applyAlignment="1" pivotButton="0" quotePrefix="0" xfId="0">
      <alignment horizontal="center" vertical="bottom"/>
    </xf>
    <xf numFmtId="0" fontId="4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general" vertical="bottom"/>
    </xf>
    <xf numFmtId="0" fontId="4" fillId="2" borderId="21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bottom"/>
    </xf>
    <xf numFmtId="0" fontId="4" fillId="2" borderId="30" applyAlignment="1" pivotButton="0" quotePrefix="0" xfId="0">
      <alignment horizontal="center" vertical="bottom"/>
    </xf>
    <xf numFmtId="0" fontId="4" fillId="2" borderId="24" applyAlignment="1" pivotButton="0" quotePrefix="0" xfId="0">
      <alignment horizontal="center" vertical="bottom"/>
    </xf>
    <xf numFmtId="0" fontId="4" fillId="2" borderId="22" applyAlignment="1" pivotButton="0" quotePrefix="0" xfId="0">
      <alignment horizontal="general" vertical="bottom"/>
    </xf>
    <xf numFmtId="0" fontId="4" fillId="2" borderId="25" applyAlignment="1" pivotButton="0" quotePrefix="0" xfId="0">
      <alignment horizontal="center" vertical="center"/>
    </xf>
    <xf numFmtId="10" fontId="4" fillId="2" borderId="25" applyAlignment="1" pivotButton="0" quotePrefix="0" xfId="0">
      <alignment horizontal="general" vertical="bottom"/>
    </xf>
    <xf numFmtId="1" fontId="5" fillId="2" borderId="15" applyAlignment="1" pivotButton="0" quotePrefix="0" xfId="0">
      <alignment horizontal="center" vertical="bottom"/>
    </xf>
    <xf numFmtId="176" fontId="5" fillId="2" borderId="15" applyAlignment="1" pivotButton="0" quotePrefix="0" xfId="0">
      <alignment horizontal="center" vertical="bottom"/>
    </xf>
    <xf numFmtId="1" fontId="4" fillId="2" borderId="15" applyAlignment="1" pivotButton="0" quotePrefix="0" xfId="0">
      <alignment horizontal="center" vertical="bottom"/>
    </xf>
    <xf numFmtId="0" fontId="27" fillId="2" borderId="9" applyAlignment="1" pivotButton="0" quotePrefix="0" xfId="0">
      <alignment horizontal="center" vertical="bottom"/>
    </xf>
    <xf numFmtId="0" fontId="27" fillId="2" borderId="0" applyAlignment="1" pivotButton="0" quotePrefix="0" xfId="0">
      <alignment horizontal="center" vertical="bottom"/>
    </xf>
    <xf numFmtId="9" fontId="4" fillId="2" borderId="25" applyAlignment="1" pivotButton="0" quotePrefix="0" xfId="0">
      <alignment horizontal="center" vertical="bottom"/>
    </xf>
    <xf numFmtId="2" fontId="27" fillId="2" borderId="9" applyAlignment="1" pivotButton="0" quotePrefix="0" xfId="0">
      <alignment horizontal="general" vertical="bottom"/>
    </xf>
    <xf numFmtId="177" fontId="27" fillId="2" borderId="0" applyAlignment="1" pivotButton="0" quotePrefix="0" xfId="0">
      <alignment horizontal="general" vertical="bottom"/>
    </xf>
    <xf numFmtId="2" fontId="4" fillId="4" borderId="141" applyAlignment="1" applyProtection="1" pivotButton="0" quotePrefix="0" xfId="0">
      <alignment horizontal="center" vertical="center"/>
      <protection locked="0" hidden="0"/>
    </xf>
    <xf numFmtId="9" fontId="4" fillId="2" borderId="15" applyAlignment="1" pivotButton="0" quotePrefix="0" xfId="0">
      <alignment horizontal="center" vertical="bottom"/>
    </xf>
    <xf numFmtId="2" fontId="20" fillId="2" borderId="9" applyAlignment="1" pivotButton="0" quotePrefix="0" xfId="0">
      <alignment horizontal="general" vertical="bottom"/>
    </xf>
    <xf numFmtId="177" fontId="20" fillId="2" borderId="0" applyAlignment="1" pivotButton="0" quotePrefix="0" xfId="0">
      <alignment horizontal="general" vertical="bottom"/>
    </xf>
    <xf numFmtId="0" fontId="4" fillId="10" borderId="28" applyAlignment="1" pivotButton="0" quotePrefix="0" xfId="0">
      <alignment horizontal="center" vertical="bottom"/>
    </xf>
    <xf numFmtId="0" fontId="4" fillId="10" borderId="21" applyAlignment="1" pivotButton="0" quotePrefix="0" xfId="0">
      <alignment horizontal="center" vertical="bottom"/>
    </xf>
    <xf numFmtId="1" fontId="4" fillId="2" borderId="15" applyAlignment="1" pivotButton="0" quotePrefix="0" xfId="0">
      <alignment horizontal="general" vertical="bottom"/>
    </xf>
    <xf numFmtId="9" fontId="4" fillId="2" borderId="22" applyAlignment="1" pivotButton="0" quotePrefix="0" xfId="0">
      <alignment horizontal="center" vertical="bottom"/>
    </xf>
    <xf numFmtId="1" fontId="18" fillId="3" borderId="0" applyAlignment="1" pivotButton="0" quotePrefix="0" xfId="0">
      <alignment horizontal="center" vertical="center"/>
    </xf>
    <xf numFmtId="167" fontId="18" fillId="3" borderId="0" applyAlignment="1" pivotButton="0" quotePrefix="0" xfId="0">
      <alignment horizontal="center" vertical="center"/>
    </xf>
    <xf numFmtId="164" fontId="4" fillId="0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general" vertical="center"/>
    </xf>
    <xf numFmtId="164" fontId="4" fillId="2" borderId="0" applyAlignment="1" pivotButton="0" quotePrefix="0" xfId="28">
      <alignment horizontal="center" vertical="center"/>
    </xf>
    <xf numFmtId="164" fontId="4" fillId="2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right" vertical="center"/>
    </xf>
    <xf numFmtId="0" fontId="21" fillId="5" borderId="142" applyAlignment="1" pivotButton="0" quotePrefix="0" xfId="0">
      <alignment horizontal="center" vertical="center"/>
    </xf>
    <xf numFmtId="0" fontId="4" fillId="2" borderId="143" applyAlignment="1" pivotButton="0" quotePrefix="0" xfId="0">
      <alignment horizontal="right" vertical="center"/>
    </xf>
    <xf numFmtId="0" fontId="4" fillId="2" borderId="2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71" fillId="4" borderId="1" applyAlignment="1" pivotButton="0" quotePrefix="0" xfId="0">
      <alignment horizontal="center" vertical="center"/>
    </xf>
    <xf numFmtId="0" fontId="15" fillId="5" borderId="145" applyAlignment="1" pivotButton="0" quotePrefix="0" xfId="0">
      <alignment horizontal="center" vertical="top" wrapText="1"/>
    </xf>
    <xf numFmtId="0" fontId="21" fillId="5" borderId="146" applyAlignment="1" pivotButton="0" quotePrefix="0" xfId="0">
      <alignment horizontal="center" vertical="top" wrapText="1"/>
    </xf>
    <xf numFmtId="0" fontId="21" fillId="5" borderId="12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3" fillId="0" borderId="8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top" wrapText="1"/>
    </xf>
    <xf numFmtId="2" fontId="4" fillId="0" borderId="147" applyAlignment="1" pivotButton="0" quotePrefix="0" xfId="0">
      <alignment horizontal="center" vertical="center"/>
    </xf>
    <xf numFmtId="2" fontId="48" fillId="18" borderId="2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71" fontId="4" fillId="4" borderId="22" applyAlignment="1" pivotButton="0" quotePrefix="0" xfId="0">
      <alignment horizontal="center" vertical="center"/>
    </xf>
    <xf numFmtId="2" fontId="4" fillId="2" borderId="143" applyAlignment="1" pivotButton="0" quotePrefix="0" xfId="0">
      <alignment horizontal="center" vertical="center"/>
    </xf>
    <xf numFmtId="2" fontId="20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10" fontId="4" fillId="2" borderId="144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21" fillId="5" borderId="145" applyAlignment="1" pivotButton="0" quotePrefix="0" xfId="0">
      <alignment horizontal="center" vertical="center"/>
    </xf>
    <xf numFmtId="0" fontId="21" fillId="5" borderId="148" applyAlignment="1" pivotButton="0" quotePrefix="0" xfId="0">
      <alignment horizontal="center" vertical="center"/>
    </xf>
    <xf numFmtId="0" fontId="4" fillId="4" borderId="57" applyAlignment="1" pivotButton="0" quotePrefix="0" xfId="0">
      <alignment horizontal="center" vertical="center"/>
    </xf>
    <xf numFmtId="2" fontId="21" fillId="0" borderId="145" applyAlignment="1" pivotButton="0" quotePrefix="0" xfId="0">
      <alignment horizontal="center" vertical="center"/>
    </xf>
    <xf numFmtId="2" fontId="21" fillId="0" borderId="148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2" fontId="21" fillId="0" borderId="149" applyAlignment="1" pivotButton="0" quotePrefix="0" xfId="0">
      <alignment horizontal="center" vertical="center"/>
    </xf>
    <xf numFmtId="0" fontId="21" fillId="5" borderId="1" applyAlignment="1" pivotButton="0" quotePrefix="0" xfId="0">
      <alignment horizontal="general" vertical="center"/>
    </xf>
    <xf numFmtId="1" fontId="4" fillId="4" borderId="1" applyAlignment="1" pivotButton="0" quotePrefix="0" xfId="0">
      <alignment horizontal="center" vertical="center"/>
    </xf>
    <xf numFmtId="1" fontId="4" fillId="4" borderId="11" applyAlignment="1" pivotButton="0" quotePrefix="0" xfId="0">
      <alignment horizontal="center" vertical="center"/>
    </xf>
    <xf numFmtId="2" fontId="21" fillId="0" borderId="150" applyAlignment="1" pivotButton="0" quotePrefix="0" xfId="0">
      <alignment horizontal="center" vertical="center"/>
    </xf>
    <xf numFmtId="0" fontId="4" fillId="2" borderId="151" applyAlignment="1" pivotButton="0" quotePrefix="0" xfId="0">
      <alignment horizontal="center" vertical="center"/>
    </xf>
    <xf numFmtId="0" fontId="4" fillId="2" borderId="152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39" fillId="18" borderId="1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/>
    </xf>
    <xf numFmtId="0" fontId="21" fillId="5" borderId="3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" fontId="13" fillId="2" borderId="10" applyAlignment="1" pivotButton="0" quotePrefix="0" xfId="0">
      <alignment horizontal="center" vertical="center"/>
    </xf>
    <xf numFmtId="1" fontId="4" fillId="4" borderId="56" applyAlignment="1" pivotButton="0" quotePrefix="0" xfId="0">
      <alignment horizontal="center" vertical="center"/>
    </xf>
    <xf numFmtId="1" fontId="4" fillId="4" borderId="57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1" fontId="4" fillId="2" borderId="16" applyAlignment="1" pivotButton="0" quotePrefix="0" xfId="0">
      <alignment horizontal="center" vertical="center"/>
    </xf>
    <xf numFmtId="1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/>
    </xf>
    <xf numFmtId="1" fontId="4" fillId="4" borderId="22" applyAlignment="1" pivotButton="0" quotePrefix="0" xfId="0">
      <alignment horizontal="center" vertical="center"/>
    </xf>
    <xf numFmtId="1" fontId="4" fillId="4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1" fontId="4" fillId="2" borderId="0" applyAlignment="1" pivotButton="0" quotePrefix="0" xfId="0">
      <alignment horizontal="center" vertical="center"/>
    </xf>
    <xf numFmtId="1" fontId="4" fillId="2" borderId="10" applyAlignment="1" pivotButton="0" quotePrefix="0" xfId="0">
      <alignment horizontal="center" vertical="center"/>
    </xf>
    <xf numFmtId="1" fontId="4" fillId="4" borderId="12" applyAlignment="1" pivotButton="0" quotePrefix="0" xfId="0">
      <alignment horizontal="center" vertical="center"/>
    </xf>
    <xf numFmtId="1" fontId="4" fillId="4" borderId="7" applyAlignment="1" pivotButton="0" quotePrefix="0" xfId="0">
      <alignment horizontal="center" vertical="center"/>
    </xf>
    <xf numFmtId="1" fontId="4" fillId="4" borderId="15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2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1" fontId="20" fillId="2" borderId="0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 wrapText="1"/>
    </xf>
    <xf numFmtId="0" fontId="72" fillId="5" borderId="1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general" vertical="top" wrapText="1"/>
    </xf>
    <xf numFmtId="0" fontId="21" fillId="5" borderId="14" applyAlignment="1" pivotButton="0" quotePrefix="0" xfId="0">
      <alignment horizontal="center" vertical="bottom"/>
    </xf>
    <xf numFmtId="0" fontId="4" fillId="4" borderId="25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4" borderId="27" applyAlignment="1" pivotButton="0" quotePrefix="0" xfId="0">
      <alignment horizontal="center" vertical="bottom"/>
    </xf>
    <xf numFmtId="0" fontId="4" fillId="4" borderId="2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bottom"/>
    </xf>
    <xf numFmtId="0" fontId="64" fillId="2" borderId="0" applyAlignment="1" pivotButton="0" quotePrefix="0" xfId="0">
      <alignment horizontal="right" vertical="top"/>
    </xf>
    <xf numFmtId="0" fontId="4" fillId="4" borderId="16" applyAlignment="1" pivotButton="0" quotePrefix="0" xfId="0">
      <alignment horizontal="center" vertical="bottom"/>
    </xf>
    <xf numFmtId="1" fontId="4" fillId="4" borderId="21" applyAlignment="1" pivotButton="0" quotePrefix="0" xfId="0">
      <alignment horizontal="center" vertical="center"/>
    </xf>
    <xf numFmtId="0" fontId="4" fillId="2" borderId="29" applyAlignment="1" pivotButton="0" quotePrefix="0" xfId="0">
      <alignment horizontal="general" vertical="bottom"/>
    </xf>
    <xf numFmtId="0" fontId="4" fillId="2" borderId="29" applyAlignment="1" pivotButton="0" quotePrefix="0" xfId="0">
      <alignment horizontal="center" vertical="bottom"/>
    </xf>
    <xf numFmtId="1" fontId="4" fillId="2" borderId="29" applyAlignment="1" pivotButton="0" quotePrefix="0" xfId="0">
      <alignment horizontal="center" vertical="center"/>
    </xf>
    <xf numFmtId="0" fontId="4" fillId="4" borderId="23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7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4" fillId="2" borderId="0" applyAlignment="1" pivotButton="0" quotePrefix="0" xfId="0">
      <alignment horizontal="right" vertical="top"/>
    </xf>
    <xf numFmtId="0" fontId="8" fillId="0" borderId="1" applyAlignment="1" pivotButton="0" quotePrefix="0" xfId="0">
      <alignment horizontal="general" vertical="bottom"/>
    </xf>
    <xf numFmtId="1" fontId="4" fillId="4" borderId="25" applyAlignment="1" pivotButton="0" quotePrefix="0" xfId="0">
      <alignment horizontal="center" vertical="center"/>
    </xf>
    <xf numFmtId="1" fontId="4" fillId="4" borderId="18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bottom"/>
    </xf>
    <xf numFmtId="1" fontId="4" fillId="4" borderId="26" applyAlignment="1" pivotButton="0" quotePrefix="0" xfId="0">
      <alignment horizontal="center" vertical="center"/>
    </xf>
    <xf numFmtId="1" fontId="4" fillId="4" borderId="2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bottom"/>
    </xf>
    <xf numFmtId="0" fontId="4" fillId="0" borderId="25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9" applyAlignment="1" pivotButton="0" quotePrefix="0" xfId="0">
      <alignment horizontal="center" vertical="bottom"/>
    </xf>
    <xf numFmtId="1" fontId="4" fillId="4" borderId="8" applyAlignment="1" pivotButton="0" quotePrefix="0" xfId="0">
      <alignment horizontal="center" vertical="center"/>
    </xf>
    <xf numFmtId="1" fontId="4" fillId="4" borderId="1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bottom"/>
    </xf>
    <xf numFmtId="1" fontId="20" fillId="19" borderId="1" applyAlignment="1" pivotButton="0" quotePrefix="0" xfId="0">
      <alignment horizontal="center" vertical="center"/>
    </xf>
    <xf numFmtId="0" fontId="4" fillId="2" borderId="7" applyAlignment="1" pivotButton="0" quotePrefix="0" xfId="0">
      <alignment horizontal="general" vertical="center"/>
    </xf>
    <xf numFmtId="166" fontId="20" fillId="19" borderId="1" applyAlignment="1" pivotButton="0" quotePrefix="0" xfId="0">
      <alignment horizontal="center" vertical="center"/>
    </xf>
    <xf numFmtId="0" fontId="64" fillId="2" borderId="0" applyAlignment="1" pivotButton="0" quotePrefix="0" xfId="0">
      <alignment horizontal="general" vertical="center"/>
    </xf>
    <xf numFmtId="164" fontId="4" fillId="2" borderId="0" applyAlignment="1" applyProtection="1" pivotButton="0" quotePrefix="0" xfId="28">
      <alignment horizontal="general" vertical="bottom"/>
      <protection locked="0" hidden="0"/>
    </xf>
    <xf numFmtId="164" fontId="9" fillId="2" borderId="0" applyAlignment="1" applyProtection="1" pivotButton="0" quotePrefix="0" xfId="28">
      <alignment horizontal="general" vertical="bottom"/>
      <protection locked="0" hidden="0"/>
    </xf>
    <xf numFmtId="164" fontId="10" fillId="2" borderId="0" applyAlignment="1" applyProtection="1" pivotButton="0" quotePrefix="0" xfId="28">
      <alignment horizontal="general" vertical="bottom"/>
      <protection locked="0" hidden="0"/>
    </xf>
    <xf numFmtId="165" fontId="10" fillId="2" borderId="0" applyAlignment="1" applyProtection="1" pivotButton="0" quotePrefix="0" xfId="28">
      <alignment horizontal="general" vertical="bottom"/>
      <protection locked="0" hidden="0"/>
    </xf>
    <xf numFmtId="0" fontId="4" fillId="0" borderId="0" applyAlignment="1" applyProtection="1" pivotButton="0" quotePrefix="0" xfId="0">
      <alignment horizontal="general" vertical="bottom"/>
      <protection locked="0" hidden="0"/>
    </xf>
    <xf numFmtId="0" fontId="11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2" borderId="0" applyAlignment="1" applyProtection="1" pivotButton="0" quotePrefix="0" xfId="0">
      <alignment horizontal="right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0" fillId="0" borderId="4" pivotButton="0" quotePrefix="0" xfId="0"/>
    <xf numFmtId="0" fontId="13" fillId="2" borderId="2" applyAlignment="1" pivotButton="0" quotePrefix="0" xfId="0">
      <alignment horizontal="center" vertical="center"/>
    </xf>
    <xf numFmtId="0" fontId="0" fillId="0" borderId="10" pivotButton="0" quotePrefix="0" xfId="0"/>
    <xf numFmtId="0" fontId="14" fillId="4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4" borderId="4" applyAlignment="1" applyProtection="1" pivotButton="0" quotePrefix="0" xfId="0">
      <alignment horizontal="center" vertical="center"/>
      <protection locked="0" hidden="0"/>
    </xf>
    <xf numFmtId="0" fontId="0" fillId="0" borderId="10" applyProtection="1" pivotButton="0" quotePrefix="0" xfId="0">
      <protection locked="0" hidden="0"/>
    </xf>
    <xf numFmtId="0" fontId="4" fillId="2" borderId="5" applyAlignment="1" pivotButton="0" quotePrefix="0" xfId="0">
      <alignment horizontal="general" vertical="bottom"/>
    </xf>
    <xf numFmtId="0" fontId="4" fillId="2" borderId="6" applyAlignment="1" pivotButton="0" quotePrefix="0" xfId="0">
      <alignment horizontal="general" vertical="bottom"/>
    </xf>
    <xf numFmtId="0" fontId="4" fillId="2" borderId="7" applyAlignment="1" pivotButton="0" quotePrefix="0" xfId="0">
      <alignment horizontal="general" vertical="bottom"/>
    </xf>
    <xf numFmtId="0" fontId="9" fillId="2" borderId="0" applyAlignment="1" applyProtection="1" pivotButton="0" quotePrefix="0" xfId="0">
      <alignment horizontal="general" vertical="bottom"/>
      <protection locked="0" hidden="0"/>
    </xf>
    <xf numFmtId="0" fontId="10" fillId="2" borderId="0" applyAlignment="1" applyProtection="1" pivotButton="0" quotePrefix="0" xfId="0">
      <alignment horizontal="left" vertical="bottom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2" borderId="8" applyAlignment="1" pivotButton="0" quotePrefix="0" xfId="0">
      <alignment horizontal="center" vertical="bottom"/>
    </xf>
    <xf numFmtId="0" fontId="13" fillId="2" borderId="1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2" borderId="1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5" fillId="4" borderId="1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pivotButton="0" quotePrefix="0" xfId="0">
      <alignment horizontal="center" vertical="center" wrapText="1"/>
    </xf>
    <xf numFmtId="166" fontId="13" fillId="4" borderId="1" applyAlignment="1" applyProtection="1" pivotButton="0" quotePrefix="0" xfId="0">
      <alignment horizontal="center" vertical="center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6" fillId="2" borderId="12" applyAlignment="1" pivotButton="0" quotePrefix="0" xfId="0">
      <alignment horizontal="left" vertical="center"/>
    </xf>
    <xf numFmtId="0" fontId="15" fillId="4" borderId="12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bottom"/>
    </xf>
    <xf numFmtId="0" fontId="0" fillId="0" borderId="29" pivotButton="0" quotePrefix="0" xfId="0"/>
    <xf numFmtId="0" fontId="0" fillId="0" borderId="11" pivotButton="0" quotePrefix="0" xfId="0"/>
    <xf numFmtId="0" fontId="15" fillId="2" borderId="1" applyAlignment="1" pivotButton="0" quotePrefix="0" xfId="0">
      <alignment horizontal="left" vertical="bottom"/>
    </xf>
    <xf numFmtId="0" fontId="15" fillId="2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center" vertical="bottom"/>
    </xf>
    <xf numFmtId="0" fontId="17" fillId="2" borderId="12" applyAlignment="1" pivotButton="0" quotePrefix="0" xfId="0">
      <alignment horizontal="left" vertical="bottom"/>
    </xf>
    <xf numFmtId="0" fontId="17" fillId="2" borderId="12" applyAlignment="1" pivotButton="0" quotePrefix="0" xfId="0">
      <alignment horizontal="center" vertical="bottom"/>
    </xf>
    <xf numFmtId="167" fontId="13" fillId="6" borderId="0" applyAlignment="1" pivotButton="0" quotePrefix="0" xfId="0">
      <alignment horizontal="center" vertical="bottom"/>
    </xf>
    <xf numFmtId="167" fontId="18" fillId="3" borderId="12" applyAlignment="1" pivotButton="0" quotePrefix="0" xfId="0">
      <alignment horizontal="center" vertical="center"/>
    </xf>
    <xf numFmtId="0" fontId="17" fillId="2" borderId="7" applyAlignment="1" pivotButton="0" quotePrefix="0" xfId="0">
      <alignment horizontal="left" vertical="bottom"/>
    </xf>
    <xf numFmtId="0" fontId="18" fillId="3" borderId="12" applyAlignment="1" pivotButton="0" quotePrefix="0" xfId="0">
      <alignment horizontal="center" vertical="center"/>
    </xf>
    <xf numFmtId="0" fontId="17" fillId="2" borderId="8" applyAlignment="1" pivotButton="0" quotePrefix="0" xfId="0">
      <alignment horizontal="left" vertical="bottom"/>
    </xf>
    <xf numFmtId="0" fontId="17" fillId="2" borderId="8" applyAlignment="1" pivotButton="0" quotePrefix="0" xfId="0">
      <alignment horizontal="center" vertical="bottom"/>
    </xf>
    <xf numFmtId="167" fontId="18" fillId="3" borderId="8" applyAlignment="1" pivotButton="0" quotePrefix="0" xfId="0">
      <alignment horizontal="center" vertical="center"/>
    </xf>
    <xf numFmtId="0" fontId="17" fillId="2" borderId="10" applyAlignment="1" pivotButton="0" quotePrefix="0" xfId="0">
      <alignment horizontal="left" vertical="bottom"/>
    </xf>
    <xf numFmtId="0" fontId="18" fillId="3" borderId="8" applyAlignment="1" pivotButton="0" quotePrefix="0" xfId="0">
      <alignment horizontal="center" vertical="center"/>
    </xf>
    <xf numFmtId="0" fontId="20" fillId="2" borderId="0" applyAlignment="1" applyProtection="1" pivotButton="0" quotePrefix="0" xfId="0">
      <alignment horizontal="general" vertical="bottom"/>
      <protection locked="0" hidden="0"/>
    </xf>
    <xf numFmtId="1" fontId="18" fillId="3" borderId="8" applyAlignment="1" pivotButton="0" quotePrefix="0" xfId="0">
      <alignment horizontal="center" vertical="center"/>
    </xf>
    <xf numFmtId="0" fontId="10" fillId="2" borderId="0" applyAlignment="1" applyProtection="1" pivotButton="0" quotePrefix="0" xfId="0">
      <alignment horizontal="general" vertical="bottom"/>
      <protection locked="0" hidden="0"/>
    </xf>
    <xf numFmtId="0" fontId="19" fillId="2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165" fontId="19" fillId="2" borderId="0" applyAlignment="1" applyProtection="1" pivotButton="0" quotePrefix="0" xfId="0">
      <alignment horizontal="general" vertical="bottom"/>
      <protection locked="0" hidden="0"/>
    </xf>
    <xf numFmtId="0" fontId="17" fillId="2" borderId="0" applyAlignment="1" pivotButton="0" quotePrefix="0" xfId="0">
      <alignment horizontal="left" vertical="bottom"/>
    </xf>
    <xf numFmtId="0" fontId="21" fillId="5" borderId="1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2" fontId="19" fillId="2" borderId="0" applyAlignment="1" pivotButton="0" quotePrefix="0" xfId="0">
      <alignment horizontal="general" vertical="bottom"/>
    </xf>
    <xf numFmtId="165" fontId="19" fillId="2" borderId="0" applyAlignment="1" pivotButton="0" quotePrefix="0" xfId="0">
      <alignment horizontal="general" vertical="bottom"/>
    </xf>
    <xf numFmtId="0" fontId="22" fillId="0" borderId="1" applyAlignment="1" applyProtection="1" pivotButton="0" quotePrefix="0" xfId="0">
      <alignment horizontal="center" vertical="center"/>
      <protection locked="0" hidden="0"/>
    </xf>
    <xf numFmtId="9" fontId="18" fillId="3" borderId="8" applyAlignment="1" pivotButton="0" quotePrefix="0" xfId="0">
      <alignment horizontal="center" vertical="center"/>
    </xf>
    <xf numFmtId="0" fontId="17" fillId="2" borderId="4" applyAlignment="1" pivotButton="0" quotePrefix="0" xfId="0">
      <alignment horizontal="left" vertical="bottom"/>
    </xf>
    <xf numFmtId="0" fontId="17" fillId="2" borderId="4" applyAlignment="1" pivotButton="0" quotePrefix="0" xfId="0">
      <alignment horizontal="center" vertical="bottom"/>
    </xf>
    <xf numFmtId="0" fontId="18" fillId="3" borderId="4" applyAlignment="1" pivotButton="0" quotePrefix="0" xfId="0">
      <alignment horizontal="center" vertical="center"/>
    </xf>
    <xf numFmtId="0" fontId="0" fillId="0" borderId="9" applyProtection="1" pivotButton="0" quotePrefix="0" xfId="0">
      <protection locked="0" hidden="0"/>
    </xf>
    <xf numFmtId="0" fontId="23" fillId="5" borderId="1" applyAlignment="1" pivotButton="0" quotePrefix="0" xfId="0">
      <alignment horizontal="center" vertical="bottom"/>
    </xf>
    <xf numFmtId="0" fontId="15" fillId="2" borderId="12" applyAlignment="1" pivotButton="0" quotePrefix="0" xfId="0">
      <alignment horizontal="left" vertical="bottom"/>
    </xf>
    <xf numFmtId="2" fontId="24" fillId="2" borderId="0" applyAlignment="1" pivotButton="0" quotePrefix="0" xfId="0">
      <alignment horizontal="general" vertical="bottom"/>
    </xf>
    <xf numFmtId="1" fontId="13" fillId="6" borderId="0" applyAlignment="1" pivotButton="0" quotePrefix="0" xfId="0">
      <alignment horizontal="center" vertical="bottom"/>
    </xf>
    <xf numFmtId="0" fontId="25" fillId="2" borderId="0" applyAlignment="1" pivotButton="0" quotePrefix="0" xfId="0">
      <alignment horizontal="general" vertical="bottom"/>
    </xf>
    <xf numFmtId="0" fontId="17" fillId="2" borderId="9" applyAlignment="1" pivotButton="0" quotePrefix="0" xfId="0">
      <alignment horizontal="left" vertical="bottom"/>
    </xf>
    <xf numFmtId="0" fontId="21" fillId="5" borderId="5" applyAlignment="1" pivotButton="0" quotePrefix="0" xfId="0">
      <alignment horizontal="center" vertical="bottom"/>
    </xf>
    <xf numFmtId="0" fontId="21" fillId="5" borderId="6" applyAlignment="1" pivotButton="0" quotePrefix="0" xfId="0">
      <alignment horizontal="center" vertical="bottom"/>
    </xf>
    <xf numFmtId="0" fontId="21" fillId="5" borderId="7" applyAlignment="1" pivotButton="0" quotePrefix="0" xfId="0">
      <alignment horizontal="center" vertical="bottom"/>
    </xf>
    <xf numFmtId="165" fontId="10" fillId="2" borderId="0" applyAlignment="1" pivotButton="0" quotePrefix="0" xfId="0">
      <alignment horizontal="general" vertical="bottom"/>
    </xf>
    <xf numFmtId="0" fontId="22" fillId="0" borderId="12" applyAlignment="1" pivotButton="0" quotePrefix="0" xfId="0">
      <alignment horizontal="center" vertical="center"/>
    </xf>
    <xf numFmtId="0" fontId="27" fillId="2" borderId="0" applyAlignment="1" applyProtection="1" pivotButton="0" quotePrefix="0" xfId="0">
      <alignment horizontal="general" vertical="bottom"/>
      <protection locked="0" hidden="0"/>
    </xf>
    <xf numFmtId="0" fontId="0" fillId="0" borderId="9" pivotButton="0" quotePrefix="0" xfId="0"/>
    <xf numFmtId="0" fontId="26" fillId="7" borderId="0" applyAlignment="1" applyProtection="1" pivotButton="0" quotePrefix="0" xfId="0">
      <alignment horizontal="general" vertical="bottom"/>
      <protection locked="0" hidden="0"/>
    </xf>
    <xf numFmtId="0" fontId="18" fillId="8" borderId="8" applyAlignment="1" pivotButton="0" quotePrefix="0" xfId="0">
      <alignment horizontal="center" vertical="center"/>
    </xf>
    <xf numFmtId="0" fontId="17" fillId="2" borderId="2" applyAlignment="1" pivotButton="0" quotePrefix="0" xfId="0">
      <alignment horizontal="left" vertical="bottom"/>
    </xf>
    <xf numFmtId="0" fontId="17" fillId="2" borderId="2" applyAlignment="1" pivotButton="0" quotePrefix="0" xfId="0">
      <alignment horizontal="center" vertical="bottom"/>
    </xf>
    <xf numFmtId="167" fontId="13" fillId="6" borderId="13" applyAlignment="1" pivotButton="0" quotePrefix="0" xfId="0">
      <alignment horizontal="center" vertical="bottom"/>
    </xf>
    <xf numFmtId="0" fontId="18" fillId="3" borderId="2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bottom"/>
    </xf>
    <xf numFmtId="0" fontId="4" fillId="2" borderId="13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12" fillId="5" borderId="2" applyAlignment="1" pivotButton="0" quotePrefix="0" xfId="0">
      <alignment horizontal="center" vertical="bottom"/>
    </xf>
    <xf numFmtId="0" fontId="13" fillId="2" borderId="1" applyAlignment="1" pivotButton="0" quotePrefix="0" xfId="0">
      <alignment horizontal="center" vertical="bottom"/>
    </xf>
    <xf numFmtId="0" fontId="13" fillId="2" borderId="2" applyAlignment="1" pivotButton="0" quotePrefix="0" xfId="0">
      <alignment horizontal="general" vertical="bottom"/>
    </xf>
    <xf numFmtId="0" fontId="13" fillId="2" borderId="2" applyAlignment="1" pivotButton="0" quotePrefix="0" xfId="0">
      <alignment horizontal="center" vertical="bottom"/>
    </xf>
    <xf numFmtId="0" fontId="28" fillId="2" borderId="0" applyAlignment="1" pivotButton="0" quotePrefix="0" xfId="0">
      <alignment horizontal="general" vertical="bottom"/>
    </xf>
    <xf numFmtId="169" fontId="27" fillId="2" borderId="0" applyAlignment="1" applyProtection="1" pivotButton="0" quotePrefix="0" xfId="0">
      <alignment horizontal="general" vertical="bottom"/>
      <protection locked="0" hidden="0"/>
    </xf>
    <xf numFmtId="164" fontId="13" fillId="0" borderId="15" applyAlignment="1" pivotButton="0" quotePrefix="0" xfId="0">
      <alignment horizontal="left" vertical="bottom"/>
    </xf>
    <xf numFmtId="0" fontId="0" fillId="0" borderId="16" pivotButton="0" quotePrefix="0" xfId="0"/>
    <xf numFmtId="0" fontId="0" fillId="0" borderId="21" pivotButton="0" quotePrefix="0" xfId="0"/>
    <xf numFmtId="168" fontId="29" fillId="0" borderId="15" applyAlignment="1" pivotButton="0" quotePrefix="0" xfId="0">
      <alignment horizontal="center" vertical="bottom"/>
    </xf>
    <xf numFmtId="0" fontId="13" fillId="6" borderId="16" applyAlignment="1" pivotButton="0" quotePrefix="0" xfId="0">
      <alignment horizontal="center" vertical="bottom"/>
    </xf>
    <xf numFmtId="167" fontId="13" fillId="6" borderId="15" applyAlignment="1" pivotButton="0" quotePrefix="0" xfId="0">
      <alignment horizontal="center" vertical="bottom"/>
    </xf>
    <xf numFmtId="167" fontId="13" fillId="6" borderId="17" applyAlignment="1" pivotButton="0" quotePrefix="0" xfId="0">
      <alignment horizontal="center" vertical="bottom"/>
    </xf>
    <xf numFmtId="0" fontId="13" fillId="6" borderId="18" applyAlignment="1" pivotButton="0" quotePrefix="0" xfId="0">
      <alignment horizontal="general" vertical="bottom"/>
    </xf>
    <xf numFmtId="1" fontId="13" fillId="4" borderId="15" applyAlignment="1" pivotButton="0" quotePrefix="0" xfId="0">
      <alignment horizontal="center" vertical="center"/>
    </xf>
    <xf numFmtId="1" fontId="13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165" fontId="30" fillId="2" borderId="0" applyAlignment="1" pivotButton="0" quotePrefix="0" xfId="0">
      <alignment horizontal="general" vertical="bottom"/>
    </xf>
    <xf numFmtId="169" fontId="19" fillId="2" borderId="0" applyAlignment="1" pivotButton="0" quotePrefix="0" xfId="0">
      <alignment horizontal="general" vertical="bottom"/>
    </xf>
    <xf numFmtId="170" fontId="29" fillId="0" borderId="15" applyAlignment="1" pivotButton="0" quotePrefix="0" xfId="0">
      <alignment horizontal="center" vertical="bottom"/>
    </xf>
    <xf numFmtId="167" fontId="13" fillId="6" borderId="19" applyAlignment="1" pivotButton="0" quotePrefix="0" xfId="0">
      <alignment horizontal="center" vertical="bottom"/>
    </xf>
    <xf numFmtId="0" fontId="13" fillId="6" borderId="20" applyAlignment="1" pivotButton="0" quotePrefix="0" xfId="0">
      <alignment horizontal="general" vertical="bottom"/>
    </xf>
    <xf numFmtId="167" fontId="13" fillId="6" borderId="16" applyAlignment="1" pivotButton="0" quotePrefix="0" xfId="0">
      <alignment horizontal="center" vertical="bottom"/>
    </xf>
    <xf numFmtId="167" fontId="13" fillId="6" borderId="21" applyAlignment="1" pivotButton="0" quotePrefix="0" xfId="0">
      <alignment horizontal="general" vertical="bottom"/>
    </xf>
    <xf numFmtId="167" fontId="29" fillId="0" borderId="15" applyAlignment="1" pivotButton="0" quotePrefix="0" xfId="0">
      <alignment horizontal="center" vertical="bottom"/>
    </xf>
    <xf numFmtId="164" fontId="29" fillId="0" borderId="15" applyAlignment="1" pivotButton="0" quotePrefix="0" xfId="0">
      <alignment horizontal="left" vertical="bottom"/>
    </xf>
    <xf numFmtId="0" fontId="13" fillId="6" borderId="21" applyAlignment="1" pivotButton="0" quotePrefix="0" xfId="0">
      <alignment horizontal="general" vertical="bottom"/>
    </xf>
    <xf numFmtId="164" fontId="13" fillId="0" borderId="22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24" pivotButton="0" quotePrefix="0" xfId="0"/>
    <xf numFmtId="167" fontId="29" fillId="0" borderId="22" applyAlignment="1" pivotButton="0" quotePrefix="0" xfId="0">
      <alignment horizontal="center" vertical="bottom"/>
    </xf>
    <xf numFmtId="0" fontId="13" fillId="6" borderId="23" applyAlignment="1" pivotButton="0" quotePrefix="0" xfId="0">
      <alignment horizontal="center" vertical="bottom"/>
    </xf>
    <xf numFmtId="0" fontId="13" fillId="6" borderId="24" applyAlignment="1" pivotButton="0" quotePrefix="0" xfId="0">
      <alignment horizontal="general" vertical="bottom"/>
    </xf>
    <xf numFmtId="1" fontId="13" fillId="4" borderId="22" applyAlignment="1" pivotButton="0" quotePrefix="0" xfId="0">
      <alignment horizontal="center" vertical="center"/>
    </xf>
    <xf numFmtId="169" fontId="27" fillId="0" borderId="0" applyAlignment="1" applyProtection="1" pivotButton="0" quotePrefix="0" xfId="0">
      <alignment horizontal="general" vertical="bottom"/>
      <protection locked="0" hidden="0"/>
    </xf>
    <xf numFmtId="164" fontId="13" fillId="2" borderId="5" applyAlignment="1" pivotButton="0" quotePrefix="0" xfId="0">
      <alignment horizontal="center" vertical="bottom"/>
    </xf>
    <xf numFmtId="0" fontId="13" fillId="2" borderId="5" applyAlignment="1" pivotButton="0" quotePrefix="0" xfId="0">
      <alignment horizontal="center" vertical="bottom"/>
    </xf>
    <xf numFmtId="164" fontId="13" fillId="6" borderId="12" applyAlignment="1" pivotButton="0" quotePrefix="0" xfId="0">
      <alignment horizontal="general" vertical="bottom"/>
    </xf>
    <xf numFmtId="167" fontId="13" fillId="6" borderId="7" applyAlignment="1" pivotButton="0" quotePrefix="0" xfId="0">
      <alignment horizontal="center" vertical="bottom"/>
    </xf>
    <xf numFmtId="0" fontId="13" fillId="6" borderId="5" applyAlignment="1" pivotButton="0" quotePrefix="0" xfId="0">
      <alignment horizontal="general" vertical="bottom"/>
    </xf>
    <xf numFmtId="0" fontId="13" fillId="6" borderId="7" applyAlignment="1" pivotButton="0" quotePrefix="0" xfId="0">
      <alignment horizontal="general" vertical="bottom"/>
    </xf>
    <xf numFmtId="164" fontId="13" fillId="2" borderId="1" applyAlignment="1" pivotButton="0" quotePrefix="0" xfId="0">
      <alignment horizontal="center" vertical="center"/>
    </xf>
    <xf numFmtId="167" fontId="13" fillId="2" borderId="3" applyAlignment="1" pivotButton="0" quotePrefix="0" xfId="0">
      <alignment horizontal="general" vertical="center"/>
    </xf>
    <xf numFmtId="164" fontId="13" fillId="2" borderId="11" applyAlignment="1" pivotButton="0" quotePrefix="0" xfId="0">
      <alignment horizontal="left" vertical="center"/>
    </xf>
    <xf numFmtId="164" fontId="13" fillId="2" borderId="7" applyAlignment="1" pivotButton="0" quotePrefix="0" xfId="0">
      <alignment horizontal="general" vertical="center"/>
    </xf>
    <xf numFmtId="164" fontId="12" fillId="5" borderId="1" applyAlignment="1" pivotButton="0" quotePrefix="0" xfId="0">
      <alignment horizontal="center" vertical="center"/>
    </xf>
    <xf numFmtId="0" fontId="13" fillId="2" borderId="12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/>
    </xf>
    <xf numFmtId="0" fontId="13" fillId="2" borderId="9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/>
    </xf>
    <xf numFmtId="169" fontId="32" fillId="2" borderId="0" applyAlignment="1" pivotButton="0" quotePrefix="0" xfId="0">
      <alignment horizontal="general" vertical="bottom"/>
    </xf>
    <xf numFmtId="0" fontId="13" fillId="0" borderId="25" applyAlignment="1" pivotButton="0" quotePrefix="0" xfId="0">
      <alignment horizontal="left" vertical="bottom"/>
    </xf>
    <xf numFmtId="0" fontId="0" fillId="0" borderId="27" pivotButton="0" quotePrefix="0" xfId="0"/>
    <xf numFmtId="0" fontId="0" fillId="0" borderId="18" pivotButton="0" quotePrefix="0" xfId="0"/>
    <xf numFmtId="0" fontId="13" fillId="0" borderId="26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center"/>
    </xf>
    <xf numFmtId="0" fontId="0" fillId="0" borderId="20" pivotButton="0" quotePrefix="0" xfId="0"/>
    <xf numFmtId="0" fontId="13" fillId="6" borderId="25" applyAlignment="1" pivotButton="0" quotePrefix="0" xfId="0">
      <alignment horizontal="center" vertical="bottom"/>
    </xf>
    <xf numFmtId="1" fontId="13" fillId="6" borderId="15" applyAlignment="1" pivotButton="0" quotePrefix="0" xfId="0">
      <alignment horizontal="center" vertical="bottom"/>
    </xf>
    <xf numFmtId="167" fontId="31" fillId="6" borderId="25" applyAlignment="1" pivotButton="0" quotePrefix="0" xfId="0">
      <alignment horizontal="center" vertical="bottom"/>
    </xf>
    <xf numFmtId="1" fontId="13" fillId="2" borderId="15" applyAlignment="1" pivotButton="0" quotePrefix="0" xfId="0">
      <alignment horizontal="center" vertical="center"/>
    </xf>
    <xf numFmtId="1" fontId="13" fillId="0" borderId="26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bottom"/>
    </xf>
    <xf numFmtId="0" fontId="13" fillId="0" borderId="15" applyAlignment="1" pivotButton="0" quotePrefix="0" xfId="0">
      <alignment horizontal="center" vertical="center"/>
    </xf>
    <xf numFmtId="0" fontId="13" fillId="6" borderId="15" applyAlignment="1" pivotButton="0" quotePrefix="0" xfId="0">
      <alignment horizontal="center" vertical="bottom"/>
    </xf>
    <xf numFmtId="0" fontId="13" fillId="0" borderId="22" applyAlignment="1" pivotButton="0" quotePrefix="0" xfId="0">
      <alignment horizontal="left" vertical="bottom"/>
    </xf>
    <xf numFmtId="0" fontId="13" fillId="0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bottom"/>
    </xf>
    <xf numFmtId="1" fontId="13" fillId="6" borderId="22" applyAlignment="1" pivotButton="0" quotePrefix="0" xfId="0">
      <alignment horizontal="center" vertical="bottom"/>
    </xf>
    <xf numFmtId="167" fontId="13" fillId="6" borderId="22" applyAlignment="1" pivotButton="0" quotePrefix="0" xfId="0">
      <alignment horizontal="center" vertical="bottom"/>
    </xf>
    <xf numFmtId="1" fontId="13" fillId="2" borderId="22" applyAlignment="1" pivotButton="0" quotePrefix="0" xfId="0">
      <alignment horizontal="center" vertical="center"/>
    </xf>
    <xf numFmtId="1" fontId="13" fillId="0" borderId="22" applyAlignment="1" pivotButton="0" quotePrefix="0" xfId="0">
      <alignment horizontal="center" vertical="bottom"/>
    </xf>
    <xf numFmtId="0" fontId="13" fillId="0" borderId="26" applyAlignment="1" pivotButton="0" quotePrefix="0" xfId="0">
      <alignment horizontal="left" vertical="bottom"/>
    </xf>
    <xf numFmtId="0" fontId="0" fillId="0" borderId="19" pivotButton="0" quotePrefix="0" xfId="0"/>
    <xf numFmtId="0" fontId="13" fillId="6" borderId="26" applyAlignment="1" pivotButton="0" quotePrefix="0" xfId="0">
      <alignment horizontal="center" vertical="bottom"/>
    </xf>
    <xf numFmtId="1" fontId="13" fillId="6" borderId="26" applyAlignment="1" pivotButton="0" quotePrefix="0" xfId="0">
      <alignment horizontal="center" vertical="bottom"/>
    </xf>
    <xf numFmtId="167" fontId="13" fillId="6" borderId="26" applyAlignment="1" pivotButton="0" quotePrefix="0" xfId="0">
      <alignment horizontal="center" vertical="bottom"/>
    </xf>
    <xf numFmtId="1" fontId="13" fillId="2" borderId="26" applyAlignment="1" pivotButton="0" quotePrefix="0" xfId="0">
      <alignment horizontal="center" vertical="center"/>
    </xf>
    <xf numFmtId="167" fontId="13" fillId="0" borderId="26" applyAlignment="1" pivotButton="0" quotePrefix="0" xfId="0">
      <alignment horizontal="center" vertical="center"/>
    </xf>
    <xf numFmtId="167" fontId="13" fillId="0" borderId="15" applyAlignment="1" pivotButton="0" quotePrefix="0" xfId="0">
      <alignment horizontal="center" vertical="center"/>
    </xf>
    <xf numFmtId="167" fontId="13" fillId="0" borderId="22" applyAlignment="1" pivotButton="0" quotePrefix="0" xfId="0">
      <alignment horizontal="center" vertical="center"/>
    </xf>
    <xf numFmtId="0" fontId="13" fillId="6" borderId="22" applyAlignment="1" pivotButton="0" quotePrefix="0" xfId="0">
      <alignment horizontal="center" vertical="top"/>
    </xf>
    <xf numFmtId="1" fontId="13" fillId="0" borderId="20" applyAlignment="1" pivotButton="0" quotePrefix="0" xfId="0">
      <alignment horizontal="center" vertical="center"/>
    </xf>
    <xf numFmtId="0" fontId="13" fillId="2" borderId="8" applyAlignment="1" pivotButton="0" quotePrefix="0" xfId="0">
      <alignment horizontal="center" vertical="bottom"/>
    </xf>
    <xf numFmtId="167" fontId="13" fillId="9" borderId="9" applyAlignment="1" pivotButton="0" quotePrefix="0" xfId="0">
      <alignment horizontal="center" vertical="bottom"/>
    </xf>
    <xf numFmtId="0" fontId="0" fillId="0" borderId="8" pivotButton="0" quotePrefix="0" xfId="0"/>
    <xf numFmtId="0" fontId="13" fillId="0" borderId="2" applyAlignment="1" pivotButton="0" quotePrefix="0" xfId="0">
      <alignment horizontal="left" vertical="bottom"/>
    </xf>
    <xf numFmtId="1" fontId="13" fillId="0" borderId="4" applyAlignment="1" pivotButton="0" quotePrefix="0" xfId="0">
      <alignment horizontal="center" vertical="center"/>
    </xf>
    <xf numFmtId="167" fontId="13" fillId="2" borderId="9" applyAlignment="1" pivotButton="0" quotePrefix="0" xfId="0">
      <alignment horizontal="center" vertical="bottom"/>
    </xf>
    <xf numFmtId="1" fontId="10" fillId="2" borderId="0" applyAlignment="1" pivotButton="0" quotePrefix="0" xfId="0">
      <alignment horizontal="general" vertical="bottom"/>
    </xf>
    <xf numFmtId="0" fontId="13" fillId="9" borderId="9" applyAlignment="1" pivotButton="0" quotePrefix="0" xfId="0">
      <alignment horizontal="center" vertical="bottom"/>
    </xf>
    <xf numFmtId="167" fontId="13" fillId="0" borderId="20" applyAlignment="1" pivotButton="0" quotePrefix="0" xfId="0">
      <alignment horizontal="center" vertical="center"/>
    </xf>
    <xf numFmtId="0" fontId="0" fillId="0" borderId="2" pivotButton="0" quotePrefix="0" xfId="0"/>
    <xf numFmtId="0" fontId="20" fillId="2" borderId="12" applyAlignment="1" pivotButton="0" quotePrefix="0" xfId="0">
      <alignment horizontal="center" vertical="bottom"/>
    </xf>
    <xf numFmtId="0" fontId="13" fillId="2" borderId="9" applyAlignment="1" pivotButton="0" quotePrefix="0" xfId="0">
      <alignment horizontal="left" vertical="bottom"/>
    </xf>
    <xf numFmtId="0" fontId="13" fillId="2" borderId="7" applyAlignment="1" pivotButton="0" quotePrefix="0" xfId="0">
      <alignment horizontal="center" vertical="bottom"/>
    </xf>
    <xf numFmtId="0" fontId="13" fillId="6" borderId="12" applyAlignment="1" pivotButton="0" quotePrefix="0" xfId="0">
      <alignment horizontal="left" vertical="bottom"/>
    </xf>
    <xf numFmtId="2" fontId="13" fillId="6" borderId="5" applyAlignment="1" pivotButton="0" quotePrefix="0" xfId="0">
      <alignment horizontal="general" vertical="bottom"/>
    </xf>
    <xf numFmtId="167" fontId="13" fillId="6" borderId="6" applyAlignment="1" pivotButton="0" quotePrefix="0" xfId="0">
      <alignment horizontal="general" vertical="bottom"/>
    </xf>
    <xf numFmtId="167" fontId="13" fillId="0" borderId="12" applyAlignment="1" pivotButton="0" quotePrefix="0" xfId="0">
      <alignment horizontal="center" vertical="bottom"/>
    </xf>
    <xf numFmtId="167" fontId="13" fillId="0" borderId="7" applyAlignment="1" pivotButton="0" quotePrefix="0" xfId="0">
      <alignment horizontal="center" vertical="bottom"/>
    </xf>
    <xf numFmtId="0" fontId="9" fillId="2" borderId="14" applyAlignment="1" pivotButton="0" quotePrefix="0" xfId="0">
      <alignment horizontal="general" vertical="bottom"/>
    </xf>
    <xf numFmtId="0" fontId="10" fillId="2" borderId="4" applyAlignment="1" pivotButton="0" quotePrefix="0" xfId="0">
      <alignment horizontal="general" vertical="bottom"/>
    </xf>
    <xf numFmtId="164" fontId="33" fillId="5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bottom"/>
    </xf>
    <xf numFmtId="0" fontId="13" fillId="2" borderId="17" applyAlignment="1" pivotButton="0" quotePrefix="0" xfId="0">
      <alignment horizontal="general" vertical="bottom"/>
    </xf>
    <xf numFmtId="0" fontId="13" fillId="2" borderId="27" applyAlignment="1" pivotButton="0" quotePrefix="0" xfId="0">
      <alignment horizontal="general" vertical="bottom"/>
    </xf>
    <xf numFmtId="0" fontId="13" fillId="2" borderId="18" applyAlignment="1" pivotButton="0" quotePrefix="0" xfId="0">
      <alignment horizontal="general" vertical="bottom"/>
    </xf>
    <xf numFmtId="1" fontId="13" fillId="0" borderId="25" applyAlignment="1" pivotButton="0" quotePrefix="0" xfId="0">
      <alignment horizontal="center" vertical="bottom"/>
    </xf>
    <xf numFmtId="0" fontId="13" fillId="2" borderId="25" applyAlignment="1" pivotButton="0" quotePrefix="0" xfId="0">
      <alignment horizontal="left" vertical="bottom"/>
    </xf>
    <xf numFmtId="0" fontId="13" fillId="2" borderId="15" applyAlignment="1" pivotButton="0" quotePrefix="0" xfId="0">
      <alignment horizontal="left" vertical="bottom"/>
    </xf>
    <xf numFmtId="0" fontId="13" fillId="2" borderId="22" applyAlignment="1" pivotButton="0" quotePrefix="0" xfId="0">
      <alignment horizontal="left" vertical="bottom"/>
    </xf>
    <xf numFmtId="164" fontId="34" fillId="5" borderId="2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bottom"/>
    </xf>
    <xf numFmtId="0" fontId="17" fillId="10" borderId="3" applyAlignment="1" pivotButton="0" quotePrefix="0" xfId="0">
      <alignment horizontal="center" vertical="bottom"/>
    </xf>
    <xf numFmtId="0" fontId="17" fillId="10" borderId="11" applyAlignment="1" pivotButton="0" quotePrefix="0" xfId="0">
      <alignment horizontal="center" vertical="bottom"/>
    </xf>
    <xf numFmtId="0" fontId="17" fillId="10" borderId="2" applyAlignment="1" pivotButton="0" quotePrefix="0" xfId="0">
      <alignment horizontal="center" vertical="bottom"/>
    </xf>
    <xf numFmtId="0" fontId="13" fillId="0" borderId="15" applyAlignment="1" pivotButton="0" quotePrefix="0" xfId="0">
      <alignment horizontal="left" vertical="center"/>
    </xf>
    <xf numFmtId="2" fontId="29" fillId="0" borderId="28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center"/>
    </xf>
    <xf numFmtId="1" fontId="17" fillId="4" borderId="15" applyAlignment="1" pivotButton="0" quotePrefix="0" xfId="0">
      <alignment horizontal="center" vertical="bottom"/>
    </xf>
    <xf numFmtId="2" fontId="29" fillId="0" borderId="15" applyAlignment="1" pivotButton="0" quotePrefix="0" xfId="0">
      <alignment horizontal="center" vertical="center"/>
    </xf>
    <xf numFmtId="2" fontId="17" fillId="0" borderId="15" applyAlignment="1" pivotButton="0" quotePrefix="0" xfId="0">
      <alignment horizontal="center" vertical="center"/>
    </xf>
    <xf numFmtId="2" fontId="13" fillId="0" borderId="22" applyAlignment="1" pivotButton="0" quotePrefix="0" xfId="0">
      <alignment horizontal="center" vertical="center"/>
    </xf>
    <xf numFmtId="0" fontId="13" fillId="10" borderId="3" applyAlignment="1" pivotButton="0" quotePrefix="0" xfId="0">
      <alignment horizontal="center" vertical="bottom"/>
    </xf>
    <xf numFmtId="0" fontId="13" fillId="10" borderId="1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center" vertical="bottom"/>
    </xf>
    <xf numFmtId="0" fontId="13" fillId="10" borderId="2" applyAlignment="1" pivotButton="0" quotePrefix="0" xfId="0">
      <alignment horizontal="center" vertical="bottom"/>
    </xf>
    <xf numFmtId="0" fontId="13" fillId="0" borderId="17" applyAlignment="1" pivotButton="0" quotePrefix="0" xfId="0">
      <alignment horizontal="left" vertical="bottom"/>
    </xf>
    <xf numFmtId="1" fontId="13" fillId="0" borderId="18" applyAlignment="1" pivotButton="0" quotePrefix="0" xfId="0">
      <alignment horizontal="center" vertical="center"/>
    </xf>
    <xf numFmtId="1" fontId="17" fillId="0" borderId="25" applyAlignment="1" pivotButton="0" quotePrefix="0" xfId="0">
      <alignment horizontal="center" vertical="bottom"/>
    </xf>
    <xf numFmtId="0" fontId="13" fillId="0" borderId="25" applyAlignment="1" pivotButton="0" quotePrefix="0" xfId="0">
      <alignment horizontal="center" vertical="bottom"/>
    </xf>
    <xf numFmtId="1" fontId="13" fillId="4" borderId="25" applyAlignment="1" pivotButton="0" quotePrefix="0" xfId="0">
      <alignment horizontal="center" vertical="bottom"/>
    </xf>
    <xf numFmtId="0" fontId="13" fillId="0" borderId="22" applyAlignment="1" pivotButton="0" quotePrefix="0" xfId="0">
      <alignment horizontal="center" vertical="bottom"/>
    </xf>
    <xf numFmtId="1" fontId="13" fillId="4" borderId="22" applyAlignment="1" pivotButton="0" quotePrefix="0" xfId="0">
      <alignment horizontal="center" vertical="bottom"/>
    </xf>
    <xf numFmtId="164" fontId="34" fillId="5" borderId="1" applyAlignment="1" pivotButton="0" quotePrefix="0" xfId="0">
      <alignment horizontal="center" vertical="center"/>
    </xf>
    <xf numFmtId="2" fontId="13" fillId="0" borderId="28" applyAlignment="1" pivotButton="0" quotePrefix="0" xfId="0">
      <alignment horizontal="left" vertical="center"/>
    </xf>
    <xf numFmtId="1" fontId="17" fillId="4" borderId="25" applyAlignment="1" pivotButton="0" quotePrefix="0" xfId="0">
      <alignment horizontal="center" vertical="bottom"/>
    </xf>
    <xf numFmtId="165" fontId="32" fillId="2" borderId="0" applyAlignment="1" pivotButton="0" quotePrefix="0" xfId="0">
      <alignment horizontal="general" vertical="bottom"/>
    </xf>
    <xf numFmtId="0" fontId="13" fillId="0" borderId="22" applyAlignment="1" pivotButton="0" quotePrefix="0" xfId="0">
      <alignment horizontal="left" vertical="center"/>
    </xf>
    <xf numFmtId="1" fontId="17" fillId="4" borderId="22" applyAlignment="1" pivotButton="0" quotePrefix="0" xfId="0">
      <alignment horizontal="center" vertical="bottom"/>
    </xf>
    <xf numFmtId="0" fontId="0" fillId="2" borderId="0" applyAlignment="1" applyProtection="1" pivotButton="0" quotePrefix="0" xfId="0">
      <alignment horizontal="general" vertical="bottom"/>
      <protection locked="0" hidden="0"/>
    </xf>
    <xf numFmtId="164" fontId="34" fillId="5" borderId="1" applyAlignment="1" applyProtection="1" pivotButton="0" quotePrefix="0" xfId="0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35" fillId="2" borderId="0" applyAlignment="1" applyProtection="1" pivotButton="0" quotePrefix="0" xfId="0">
      <alignment horizontal="general" vertical="bottom"/>
      <protection locked="0" hidden="0"/>
    </xf>
    <xf numFmtId="0" fontId="36" fillId="2" borderId="0" applyAlignment="1" applyProtection="1" pivotButton="0" quotePrefix="0" xfId="0">
      <alignment horizontal="general" vertical="bottom"/>
      <protection locked="0" hidden="0"/>
    </xf>
    <xf numFmtId="0" fontId="37" fillId="2" borderId="0" applyAlignment="1" applyProtection="1" pivotButton="0" quotePrefix="0" xfId="0">
      <alignment horizontal="general" vertical="bottom"/>
      <protection locked="0" hidden="0"/>
    </xf>
    <xf numFmtId="164" fontId="33" fillId="4" borderId="3" applyAlignment="1" applyProtection="1" pivotButton="0" quotePrefix="0" xfId="0">
      <alignment horizontal="center" vertical="center"/>
      <protection locked="0" hidden="0"/>
    </xf>
    <xf numFmtId="164" fontId="33" fillId="4" borderId="29" applyAlignment="1" applyProtection="1" pivotButton="0" quotePrefix="0" xfId="0">
      <alignment horizontal="center" vertical="center"/>
      <protection locked="0" hidden="0"/>
    </xf>
    <xf numFmtId="164" fontId="33" fillId="4" borderId="11" applyAlignment="1" applyProtection="1" pivotButton="0" quotePrefix="0" xfId="0">
      <alignment horizontal="center" vertical="center"/>
      <protection locked="0" hidden="0"/>
    </xf>
    <xf numFmtId="164" fontId="33" fillId="10" borderId="5" applyAlignment="1" applyProtection="1" pivotButton="0" quotePrefix="0" xfId="0">
      <alignment horizontal="center" vertical="center"/>
      <protection locked="0" hidden="0"/>
    </xf>
    <xf numFmtId="164" fontId="33" fillId="10" borderId="6" applyAlignment="1" applyProtection="1" pivotButton="0" quotePrefix="0" xfId="0">
      <alignment horizontal="center" vertical="center"/>
      <protection locked="0" hidden="0"/>
    </xf>
    <xf numFmtId="164" fontId="33" fillId="10" borderId="7" applyAlignment="1" applyProtection="1" pivotButton="0" quotePrefix="0" xfId="0">
      <alignment horizontal="center" vertical="center"/>
      <protection locked="0" hidden="0"/>
    </xf>
    <xf numFmtId="164" fontId="33" fillId="10" borderId="0" applyAlignment="1" applyProtection="1" pivotButton="0" quotePrefix="0" xfId="0">
      <alignment horizontal="center" vertical="center"/>
      <protection locked="0" hidden="0"/>
    </xf>
    <xf numFmtId="167" fontId="33" fillId="10" borderId="0" applyAlignment="1" applyProtection="1" pivotButton="0" quotePrefix="0" xfId="0">
      <alignment horizontal="center" vertical="center"/>
      <protection locked="0" hidden="0"/>
    </xf>
    <xf numFmtId="164" fontId="33" fillId="10" borderId="10" applyAlignment="1" applyProtection="1" pivotButton="0" quotePrefix="0" xfId="0">
      <alignment horizontal="center" vertical="center"/>
      <protection locked="0" hidden="0"/>
    </xf>
    <xf numFmtId="0" fontId="13" fillId="10" borderId="2" applyAlignment="1" applyProtection="1" pivotButton="0" quotePrefix="0" xfId="0">
      <alignment horizontal="center" vertical="center"/>
      <protection locked="0" hidden="0"/>
    </xf>
    <xf numFmtId="0" fontId="34" fillId="5" borderId="1" applyAlignment="1" pivotButton="0" quotePrefix="0" xfId="0">
      <alignment horizontal="center" vertical="bottom"/>
    </xf>
    <xf numFmtId="0" fontId="27" fillId="0" borderId="0" applyAlignment="1" applyProtection="1" pivotButton="0" quotePrefix="0" xfId="0">
      <alignment horizontal="general" vertical="bottom"/>
      <protection locked="0" hidden="0"/>
    </xf>
    <xf numFmtId="0" fontId="13" fillId="10" borderId="3" applyAlignment="1" pivotButton="0" quotePrefix="0" xfId="0">
      <alignment horizontal="general" vertical="bottom"/>
    </xf>
    <xf numFmtId="0" fontId="13" fillId="10" borderId="29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bottom"/>
    </xf>
    <xf numFmtId="0" fontId="13" fillId="2" borderId="25" applyAlignment="1" pivotButton="0" quotePrefix="0" xfId="0">
      <alignment horizontal="center" vertical="bottom"/>
    </xf>
    <xf numFmtId="171" fontId="31" fillId="0" borderId="25" applyAlignment="1" pivotButton="0" quotePrefix="0" xfId="0">
      <alignment horizontal="center" vertical="bottom"/>
    </xf>
    <xf numFmtId="0" fontId="13" fillId="0" borderId="15" applyAlignment="1" pivotButton="0" quotePrefix="0" xfId="0">
      <alignment horizontal="center" vertical="bottom"/>
    </xf>
    <xf numFmtId="171" fontId="31" fillId="0" borderId="15" applyAlignment="1" pivotButton="0" quotePrefix="0" xfId="0">
      <alignment horizontal="center" vertical="bottom"/>
    </xf>
    <xf numFmtId="0" fontId="0" fillId="0" borderId="0" pivotButton="0" quotePrefix="0" xfId="0"/>
    <xf numFmtId="0" fontId="20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4" fontId="4" fillId="2" borderId="30" applyAlignment="1" pivotButton="0" quotePrefix="0" xfId="28">
      <alignment horizontal="general" vertical="center" wrapText="1"/>
    </xf>
    <xf numFmtId="164" fontId="4" fillId="2" borderId="0" applyAlignment="1" pivotButton="0" quotePrefix="0" xfId="28">
      <alignment horizontal="general" vertical="bottom"/>
    </xf>
    <xf numFmtId="164" fontId="20" fillId="0" borderId="0" applyAlignment="1" pivotButton="0" quotePrefix="0" xfId="28">
      <alignment horizontal="general" vertical="bottom"/>
    </xf>
    <xf numFmtId="164" fontId="4" fillId="0" borderId="0" applyAlignment="1" pivotButton="0" quotePrefix="0" xfId="28">
      <alignment horizontal="general" vertical="bottom"/>
    </xf>
    <xf numFmtId="0" fontId="39" fillId="2" borderId="8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21" fillId="5" borderId="1" applyAlignment="1" applyProtection="1" pivotButton="0" quotePrefix="0" xfId="0">
      <alignment horizontal="center" vertical="bottom"/>
      <protection locked="0" hidden="0"/>
    </xf>
    <xf numFmtId="0" fontId="11" fillId="3" borderId="1" applyAlignment="1" applyProtection="1" pivotButton="0" quotePrefix="0" xfId="0">
      <alignment horizontal="center" vertical="center"/>
      <protection locked="0" hidden="0"/>
    </xf>
    <xf numFmtId="0" fontId="40" fillId="0" borderId="1" applyAlignment="1" applyProtection="1" pivotButton="0" quotePrefix="0" xfId="0">
      <alignment horizontal="center" vertical="center"/>
      <protection locked="0" hidden="0"/>
    </xf>
    <xf numFmtId="0" fontId="13" fillId="2" borderId="13" applyAlignment="1" pivotButton="0" quotePrefix="0" xfId="0">
      <alignment horizontal="left" vertical="center"/>
    </xf>
    <xf numFmtId="0" fontId="41" fillId="4" borderId="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7" fillId="2" borderId="14" applyAlignment="1" applyProtection="1" pivotButton="0" quotePrefix="0" xfId="0">
      <alignment horizontal="left" vertical="center"/>
      <protection locked="0" hidden="0"/>
    </xf>
    <xf numFmtId="0" fontId="17" fillId="2" borderId="2" applyAlignment="1" applyProtection="1" pivotButton="0" quotePrefix="0" xfId="0">
      <alignment horizontal="center" vertical="bottom"/>
      <protection locked="0" hidden="0"/>
    </xf>
    <xf numFmtId="0" fontId="27" fillId="2" borderId="5" applyAlignment="1" applyProtection="1" pivotButton="0" quotePrefix="0" xfId="0">
      <alignment horizontal="left" vertical="center"/>
      <protection locked="0" hidden="0"/>
    </xf>
    <xf numFmtId="0" fontId="17" fillId="4" borderId="12" applyAlignment="1" applyProtection="1" pivotButton="0" quotePrefix="0" xfId="0">
      <alignment horizontal="center" vertical="center"/>
      <protection locked="0" hidden="0"/>
    </xf>
    <xf numFmtId="0" fontId="17" fillId="4" borderId="6" applyAlignment="1" applyProtection="1" pivotButton="0" quotePrefix="0" xfId="0">
      <alignment horizontal="center" vertical="center"/>
      <protection locked="0" hidden="0"/>
    </xf>
    <xf numFmtId="0" fontId="17" fillId="4" borderId="7" applyAlignment="1" applyProtection="1" pivotButton="0" quotePrefix="0" xfId="0">
      <alignment horizontal="center" vertical="center"/>
      <protection locked="0" hidden="0"/>
    </xf>
    <xf numFmtId="0" fontId="13" fillId="4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/>
    </xf>
    <xf numFmtId="0" fontId="13" fillId="4" borderId="4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166" fontId="4" fillId="4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applyProtection="1" pivotButton="0" quotePrefix="0" xfId="0">
      <alignment horizontal="left" vertical="center"/>
      <protection locked="0" hidden="0"/>
    </xf>
    <xf numFmtId="0" fontId="17" fillId="4" borderId="31" applyAlignment="1" applyProtection="1" pivotButton="0" quotePrefix="0" xfId="0">
      <alignment horizontal="center" vertical="bottom"/>
      <protection locked="0" hidden="0"/>
    </xf>
    <xf numFmtId="0" fontId="17" fillId="4" borderId="32" applyAlignment="1" applyProtection="1" pivotButton="0" quotePrefix="0" xfId="0">
      <alignment horizontal="center" vertical="bottom"/>
      <protection locked="0" hidden="0"/>
    </xf>
    <xf numFmtId="0" fontId="17" fillId="4" borderId="33" applyAlignment="1" applyProtection="1" pivotButton="0" quotePrefix="0" xfId="0">
      <alignment horizontal="center" vertical="bottom"/>
      <protection locked="0" hidden="0"/>
    </xf>
    <xf numFmtId="0" fontId="17" fillId="4" borderId="34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left" vertical="bottom"/>
      <protection locked="0" hidden="0"/>
    </xf>
    <xf numFmtId="172" fontId="17" fillId="4" borderId="35" applyAlignment="1" applyProtection="1" pivotButton="0" quotePrefix="0" xfId="0">
      <alignment horizontal="center" vertical="center"/>
      <protection locked="0" hidden="0"/>
    </xf>
    <xf numFmtId="0" fontId="0" fillId="0" borderId="44" applyProtection="1" pivotButton="0" quotePrefix="0" xfId="0">
      <protection locked="0" hidden="0"/>
    </xf>
    <xf numFmtId="0" fontId="7" fillId="6" borderId="2" applyAlignment="1" pivotButton="0" quotePrefix="0" xfId="0">
      <alignment horizontal="center" vertical="bottom"/>
    </xf>
    <xf numFmtId="0" fontId="7" fillId="6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center"/>
      <protection locked="0" hidden="0"/>
    </xf>
    <xf numFmtId="0" fontId="17" fillId="6" borderId="3" applyAlignment="1" applyProtection="1" pivotButton="0" quotePrefix="0" xfId="0">
      <alignment horizontal="center" vertical="bottom"/>
      <protection locked="0" hidden="0"/>
    </xf>
    <xf numFmtId="0" fontId="17" fillId="6" borderId="29" applyAlignment="1" applyProtection="1" pivotButton="0" quotePrefix="0" xfId="0">
      <alignment horizontal="center" vertical="bottom"/>
      <protection locked="0" hidden="0"/>
    </xf>
    <xf numFmtId="0" fontId="17" fillId="6" borderId="11" applyAlignment="1" applyProtection="1" pivotButton="0" quotePrefix="0" xfId="0">
      <alignment horizontal="center" vertical="bottom"/>
      <protection locked="0" hidden="0"/>
    </xf>
    <xf numFmtId="0" fontId="4" fillId="2" borderId="12" applyAlignment="1" pivotButton="0" quotePrefix="0" xfId="0">
      <alignment horizontal="left" vertical="center"/>
    </xf>
    <xf numFmtId="0" fontId="4" fillId="2" borderId="17" applyAlignment="1" pivotButton="0" quotePrefix="0" xfId="0">
      <alignment horizontal="center" vertical="bottom"/>
    </xf>
    <xf numFmtId="0" fontId="4" fillId="2" borderId="18" applyAlignment="1" pivotButton="0" quotePrefix="0" xfId="0">
      <alignment horizontal="general" vertical="bottom"/>
    </xf>
    <xf numFmtId="0" fontId="4" fillId="2" borderId="12" applyAlignment="1" pivotButton="0" quotePrefix="0" xfId="0">
      <alignment horizontal="left" vertical="bottom"/>
    </xf>
    <xf numFmtId="167" fontId="4" fillId="2" borderId="17" applyAlignment="1" pivotButton="0" quotePrefix="0" xfId="0">
      <alignment horizontal="center" vertical="center"/>
    </xf>
    <xf numFmtId="0" fontId="4" fillId="2" borderId="18" applyAlignment="1" pivotButton="0" quotePrefix="0" xfId="0">
      <alignment horizontal="general" vertical="center"/>
    </xf>
    <xf numFmtId="0" fontId="27" fillId="2" borderId="5" applyAlignment="1" applyProtection="1" pivotButton="0" quotePrefix="0" xfId="0">
      <alignment horizontal="general" vertical="bottom"/>
      <protection locked="0" hidden="0"/>
    </xf>
    <xf numFmtId="167" fontId="17" fillId="4" borderId="5" applyAlignment="1" applyProtection="1" pivotButton="0" quotePrefix="0" xfId="0">
      <alignment horizontal="center" vertical="bottom"/>
      <protection locked="0" hidden="0"/>
    </xf>
    <xf numFmtId="0" fontId="17" fillId="4" borderId="7" applyAlignment="1" applyProtection="1" pivotButton="0" quotePrefix="0" xfId="0">
      <alignment horizontal="general" vertical="bottom"/>
      <protection locked="0" hidden="0"/>
    </xf>
    <xf numFmtId="167" fontId="17" fillId="4" borderId="6" applyAlignment="1" applyProtection="1" pivotButton="0" quotePrefix="0" xfId="0">
      <alignment horizontal="center" vertical="bottom"/>
      <protection locked="0" hidden="0"/>
    </xf>
    <xf numFmtId="0" fontId="27" fillId="2" borderId="8" applyAlignment="1" pivotButton="0" quotePrefix="0" xfId="0">
      <alignment horizontal="left" vertical="center"/>
    </xf>
    <xf numFmtId="0" fontId="4" fillId="2" borderId="15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bottom"/>
    </xf>
    <xf numFmtId="167" fontId="4" fillId="2" borderId="28" applyAlignment="1" pivotButton="0" quotePrefix="0" xfId="0">
      <alignment horizontal="center" vertical="center"/>
    </xf>
    <xf numFmtId="0" fontId="4" fillId="2" borderId="21" applyAlignment="1" pivotButton="0" quotePrefix="0" xfId="0">
      <alignment horizontal="general" vertical="center"/>
    </xf>
    <xf numFmtId="164" fontId="27" fillId="2" borderId="9" applyAlignment="1" applyProtection="1" pivotButton="0" quotePrefix="0" xfId="0">
      <alignment horizontal="general" vertical="bottom"/>
      <protection locked="0" hidden="0"/>
    </xf>
    <xf numFmtId="2" fontId="17" fillId="2" borderId="36" applyAlignment="1" applyProtection="1" pivotButton="0" quotePrefix="0" xfId="0">
      <alignment horizontal="center" vertical="center"/>
      <protection locked="0" hidden="0"/>
    </xf>
    <xf numFmtId="2" fontId="17" fillId="2" borderId="37" applyAlignment="1" applyProtection="1" pivotButton="0" quotePrefix="0" xfId="0">
      <alignment horizontal="center" vertical="center"/>
      <protection locked="0" hidden="0"/>
    </xf>
    <xf numFmtId="0" fontId="4" fillId="2" borderId="8" applyAlignment="1" pivotButton="0" quotePrefix="0" xfId="0">
      <alignment horizontal="left" vertical="center"/>
    </xf>
    <xf numFmtId="0" fontId="4" fillId="2" borderId="28" applyAlignment="1" pivotButton="0" quotePrefix="0" xfId="0">
      <alignment horizontal="center" vertical="bottom"/>
    </xf>
    <xf numFmtId="0" fontId="4" fillId="2" borderId="21" applyAlignment="1" pivotButton="0" quotePrefix="0" xfId="0">
      <alignment horizontal="general" vertical="bottom"/>
    </xf>
    <xf numFmtId="164" fontId="4" fillId="2" borderId="21" applyAlignment="1" pivotButton="0" quotePrefix="0" xfId="0">
      <alignment horizontal="left" vertical="center"/>
    </xf>
    <xf numFmtId="164" fontId="27" fillId="0" borderId="9" applyAlignment="1" applyProtection="1" pivotButton="0" quotePrefix="0" xfId="0">
      <alignment horizontal="general" vertical="bottom"/>
      <protection locked="0" hidden="0"/>
    </xf>
    <xf numFmtId="167" fontId="17" fillId="4" borderId="36" applyAlignment="1" applyProtection="1" pivotButton="0" quotePrefix="0" xfId="0">
      <alignment horizontal="center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 wrapText="1"/>
      <protection locked="0" hidden="0"/>
    </xf>
    <xf numFmtId="0" fontId="17" fillId="4" borderId="37" applyAlignment="1" applyProtection="1" pivotButton="0" quotePrefix="0" xfId="0">
      <alignment horizontal="general" vertical="bottom"/>
      <protection locked="0" hidden="0"/>
    </xf>
    <xf numFmtId="0" fontId="17" fillId="4" borderId="38" applyAlignment="1" applyProtection="1" pivotButton="0" quotePrefix="0" xfId="0">
      <alignment horizontal="left" vertical="bottom"/>
      <protection locked="0" hidden="0"/>
    </xf>
    <xf numFmtId="0" fontId="4" fillId="2" borderId="15" applyAlignment="1" pivotButton="0" quotePrefix="0" xfId="0">
      <alignment horizontal="center" vertical="bottom"/>
    </xf>
    <xf numFmtId="2" fontId="4" fillId="2" borderId="15" applyAlignment="1" pivotButton="0" quotePrefix="0" xfId="0">
      <alignment horizontal="center" vertical="center"/>
    </xf>
    <xf numFmtId="170" fontId="17" fillId="2" borderId="36" applyAlignment="1" applyProtection="1" pivotButton="0" quotePrefix="0" xfId="0">
      <alignment horizontal="center" vertical="center"/>
      <protection locked="0" hidden="0"/>
    </xf>
    <xf numFmtId="2" fontId="13" fillId="2" borderId="37" applyAlignment="1" applyProtection="1" pivotButton="0" quotePrefix="0" xfId="0">
      <alignment horizontal="center" vertical="center"/>
      <protection locked="0" hidden="0"/>
    </xf>
    <xf numFmtId="2" fontId="27" fillId="2" borderId="15" applyAlignment="1" pivotButton="0" quotePrefix="0" xfId="0">
      <alignment horizontal="left" vertical="center" indent="4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0" fillId="0" borderId="37" applyProtection="1" pivotButton="0" quotePrefix="0" xfId="0">
      <protection locked="0" hidden="0"/>
    </xf>
    <xf numFmtId="0" fontId="4" fillId="2" borderId="9" applyAlignment="1" applyProtection="1" pivotButton="0" quotePrefix="0" xfId="0">
      <alignment horizontal="left" vertical="bottom"/>
      <protection locked="0" hidden="0"/>
    </xf>
    <xf numFmtId="164" fontId="17" fillId="2" borderId="39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14" applyAlignment="1" applyProtection="1" pivotButton="0" quotePrefix="0" xfId="0">
      <alignment horizontal="left" vertical="bottom"/>
      <protection locked="0" hidden="0"/>
    </xf>
    <xf numFmtId="167" fontId="17" fillId="4" borderId="40" applyAlignment="1" applyProtection="1" pivotButton="0" quotePrefix="0" xfId="0">
      <alignment horizontal="center" vertical="bottom"/>
      <protection locked="0" hidden="0"/>
    </xf>
    <xf numFmtId="0" fontId="13" fillId="4" borderId="41" applyAlignment="1" applyProtection="1" pivotButton="0" quotePrefix="0" xfId="0">
      <alignment horizontal="general" vertical="bottom"/>
      <protection locked="0" hidden="0"/>
    </xf>
    <xf numFmtId="0" fontId="4" fillId="2" borderId="9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0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bottom"/>
    </xf>
    <xf numFmtId="167" fontId="4" fillId="2" borderId="30" applyAlignment="1" pivotButton="0" quotePrefix="0" xfId="0">
      <alignment horizontal="center" vertical="center"/>
    </xf>
    <xf numFmtId="0" fontId="27" fillId="2" borderId="24" applyAlignment="1" pivotButton="0" quotePrefix="0" xfId="0">
      <alignment horizontal="general" vertical="center"/>
    </xf>
    <xf numFmtId="0" fontId="17" fillId="6" borderId="3" applyAlignment="1" applyProtection="1" pivotButton="0" quotePrefix="0" xfId="0">
      <alignment horizontal="center" vertical="center"/>
      <protection locked="0" hidden="0"/>
    </xf>
    <xf numFmtId="0" fontId="17" fillId="6" borderId="29" applyAlignment="1" applyProtection="1" pivotButton="0" quotePrefix="0" xfId="0">
      <alignment horizontal="center" vertical="center"/>
      <protection locked="0" hidden="0"/>
    </xf>
    <xf numFmtId="0" fontId="17" fillId="6" borderId="11" applyAlignment="1" applyProtection="1" pivotButton="0" quotePrefix="0" xfId="0">
      <alignment horizontal="center" vertical="center"/>
      <protection locked="0" hidden="0"/>
    </xf>
    <xf numFmtId="0" fontId="27" fillId="2" borderId="9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27" fillId="2" borderId="10" applyAlignment="1" pivotButton="0" quotePrefix="0" xfId="0">
      <alignment horizontal="left" vertical="center"/>
    </xf>
    <xf numFmtId="167" fontId="27" fillId="2" borderId="28" applyAlignment="1" pivotButton="0" quotePrefix="0" xfId="0">
      <alignment horizontal="center" vertical="center"/>
    </xf>
    <xf numFmtId="167" fontId="17" fillId="2" borderId="42" applyAlignment="1" applyProtection="1" pivotButton="0" quotePrefix="0" xfId="0">
      <alignment horizontal="center" vertical="bottom"/>
      <protection locked="0" hidden="0"/>
    </xf>
    <xf numFmtId="0" fontId="17" fillId="2" borderId="43" applyAlignment="1" applyProtection="1" pivotButton="0" quotePrefix="0" xfId="0">
      <alignment horizontal="general" vertical="bottom"/>
      <protection locked="0" hidden="0"/>
    </xf>
    <xf numFmtId="0" fontId="17" fillId="2" borderId="42" applyAlignment="1" applyProtection="1" pivotButton="0" quotePrefix="0" xfId="0">
      <alignment horizontal="center" vertical="bottom"/>
      <protection locked="0" hidden="0"/>
    </xf>
    <xf numFmtId="167" fontId="17" fillId="2" borderId="36" applyAlignment="1" applyProtection="1" pivotButton="0" quotePrefix="0" xfId="0">
      <alignment horizontal="center" vertical="bottom"/>
      <protection locked="0" hidden="0"/>
    </xf>
    <xf numFmtId="0" fontId="17" fillId="2" borderId="37" applyAlignment="1" applyProtection="1" pivotButton="0" quotePrefix="0" xfId="0">
      <alignment horizontal="general" vertical="bottom"/>
      <protection locked="0" hidden="0"/>
    </xf>
    <xf numFmtId="0" fontId="17" fillId="2" borderId="36" applyAlignment="1" applyProtection="1" pivotButton="0" quotePrefix="0" xfId="0">
      <alignment horizontal="center" vertical="bottom"/>
      <protection locked="0" hidden="0"/>
    </xf>
    <xf numFmtId="167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general" vertical="bottom"/>
      <protection locked="0" hidden="0"/>
    </xf>
    <xf numFmtId="0" fontId="4" fillId="2" borderId="24" applyAlignment="1" pivotButton="0" quotePrefix="0" xfId="0">
      <alignment horizontal="general" vertical="center"/>
    </xf>
    <xf numFmtId="0" fontId="27" fillId="2" borderId="0" applyAlignment="1" applyProtection="1" pivotButton="0" quotePrefix="0" xfId="0">
      <alignment horizontal="left" vertical="center"/>
      <protection locked="0" hidden="0"/>
    </xf>
    <xf numFmtId="2" fontId="17" fillId="4" borderId="45" applyAlignment="1" applyProtection="1" pivotButton="0" quotePrefix="0" xfId="0">
      <alignment horizontal="center" vertical="bottom"/>
      <protection locked="0" hidden="0"/>
    </xf>
    <xf numFmtId="2" fontId="17" fillId="4" borderId="10" applyAlignment="1" applyProtection="1" pivotButton="0" quotePrefix="0" xfId="0">
      <alignment horizontal="general" vertical="bottom"/>
      <protection locked="0" hidden="0"/>
    </xf>
    <xf numFmtId="2" fontId="17" fillId="4" borderId="37" applyAlignment="1" applyProtection="1" pivotButton="0" quotePrefix="0" xfId="0">
      <alignment horizontal="general" vertical="bottom"/>
      <protection locked="0" hidden="0"/>
    </xf>
    <xf numFmtId="0" fontId="4" fillId="6" borderId="1" applyAlignment="1" pivotButton="0" quotePrefix="0" xfId="0">
      <alignment horizontal="center" vertical="center"/>
    </xf>
    <xf numFmtId="164" fontId="27" fillId="2" borderId="14" applyAlignment="1" applyProtection="1" pivotButton="0" quotePrefix="0" xfId="0">
      <alignment horizontal="left" vertical="center"/>
      <protection locked="0" hidden="0"/>
    </xf>
    <xf numFmtId="1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41" applyAlignment="1" applyProtection="1" pivotButton="0" quotePrefix="0" xfId="0">
      <alignment horizontal="general" vertical="bottom"/>
      <protection locked="0" hidden="0"/>
    </xf>
    <xf numFmtId="0" fontId="17" fillId="2" borderId="10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left" vertical="bottom"/>
    </xf>
    <xf numFmtId="0" fontId="4" fillId="2" borderId="4" applyAlignment="1" pivotButton="0" quotePrefix="0" xfId="0">
      <alignment horizontal="left" vertical="bottom"/>
    </xf>
    <xf numFmtId="0" fontId="4" fillId="2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bottom"/>
    </xf>
    <xf numFmtId="0" fontId="27" fillId="6" borderId="3" applyAlignment="1" applyProtection="1" pivotButton="0" quotePrefix="0" xfId="0">
      <alignment horizontal="left" vertical="bottom"/>
      <protection locked="0" hidden="0"/>
    </xf>
    <xf numFmtId="0" fontId="17" fillId="6" borderId="5" applyAlignment="1" applyProtection="1" pivotButton="0" quotePrefix="0" xfId="0">
      <alignment horizontal="center" vertical="bottom"/>
      <protection locked="0" hidden="0"/>
    </xf>
    <xf numFmtId="0" fontId="17" fillId="6" borderId="6" applyAlignment="1" applyProtection="1" pivotButton="0" quotePrefix="0" xfId="0">
      <alignment horizontal="center" vertical="bottom"/>
      <protection locked="0" hidden="0"/>
    </xf>
    <xf numFmtId="0" fontId="17" fillId="6" borderId="7" applyAlignment="1" applyProtection="1" pivotButton="0" quotePrefix="0" xfId="0">
      <alignment horizontal="center" vertical="bottom"/>
      <protection locked="0" hidden="0"/>
    </xf>
    <xf numFmtId="2" fontId="17" fillId="4" borderId="46" applyAlignment="1" applyProtection="1" pivotButton="0" quotePrefix="0" xfId="0">
      <alignment horizontal="center" vertical="bottom"/>
      <protection locked="0" hidden="0"/>
    </xf>
    <xf numFmtId="0" fontId="0" fillId="0" borderId="43" applyProtection="1" pivotButton="0" quotePrefix="0" xfId="0">
      <protection locked="0" hidden="0"/>
    </xf>
    <xf numFmtId="0" fontId="27" fillId="2" borderId="9" applyAlignment="1" pivotButton="0" quotePrefix="0" xfId="0">
      <alignment horizontal="general" vertical="bottom"/>
    </xf>
    <xf numFmtId="0" fontId="4" fillId="2" borderId="17" applyAlignment="1" pivotButton="0" quotePrefix="0" xfId="0">
      <alignment horizontal="right" vertical="center"/>
    </xf>
    <xf numFmtId="0" fontId="27" fillId="2" borderId="18" applyAlignment="1" pivotButton="0" quotePrefix="0" xfId="0">
      <alignment horizontal="general" vertical="bottom"/>
    </xf>
    <xf numFmtId="0" fontId="27" fillId="2" borderId="25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27" fillId="2" borderId="1" applyAlignment="1" pivotButton="0" quotePrefix="0" xfId="0">
      <alignment horizontal="center" vertical="bottom"/>
    </xf>
    <xf numFmtId="0" fontId="17" fillId="4" borderId="47" applyAlignment="1" applyProtection="1" pivotButton="0" quotePrefix="0" xfId="0">
      <alignment horizontal="general" vertical="bottom"/>
      <protection locked="0" hidden="0"/>
    </xf>
    <xf numFmtId="0" fontId="17" fillId="4" borderId="48" applyAlignment="1" applyProtection="1" pivotButton="0" quotePrefix="0" xfId="0">
      <alignment horizontal="general" vertical="bottom"/>
      <protection locked="0" hidden="0"/>
    </xf>
    <xf numFmtId="2" fontId="20" fillId="2" borderId="0" applyAlignment="1" pivotButton="0" quotePrefix="0" xfId="0">
      <alignment horizontal="general" vertical="bottom"/>
    </xf>
    <xf numFmtId="0" fontId="27" fillId="2" borderId="9" applyAlignment="1" pivotButton="0" quotePrefix="0" xfId="0">
      <alignment horizontal="general" vertical="center"/>
    </xf>
    <xf numFmtId="0" fontId="4" fillId="2" borderId="28" applyAlignment="1" pivotButton="0" quotePrefix="0" xfId="0">
      <alignment horizontal="right" vertical="center"/>
    </xf>
    <xf numFmtId="0" fontId="27" fillId="2" borderId="21" applyAlignment="1" pivotButton="0" quotePrefix="0" xfId="0">
      <alignment horizontal="general" vertical="bottom"/>
    </xf>
    <xf numFmtId="0" fontId="27" fillId="2" borderId="15" applyAlignment="1" pivotButton="0" quotePrefix="0" xfId="0">
      <alignment horizontal="center" vertical="center"/>
    </xf>
    <xf numFmtId="0" fontId="32" fillId="2" borderId="25" applyAlignment="1" pivotButton="0" quotePrefix="0" xfId="0">
      <alignment horizontal="left" vertical="bottom"/>
    </xf>
    <xf numFmtId="0" fontId="27" fillId="2" borderId="49" applyAlignment="1" pivotButton="0" quotePrefix="0" xfId="0">
      <alignment horizontal="center" vertical="bottom"/>
    </xf>
    <xf numFmtId="0" fontId="0" fillId="0" borderId="154" pivotButton="0" quotePrefix="0" xfId="0"/>
    <xf numFmtId="1" fontId="27" fillId="2" borderId="49" applyAlignment="1" pivotButton="0" quotePrefix="0" xfId="0">
      <alignment horizontal="center" vertical="center"/>
    </xf>
    <xf numFmtId="167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7" applyAlignment="1" applyProtection="1" pivotButton="0" quotePrefix="0" xfId="0">
      <alignment horizontal="general" vertical="bottom"/>
      <protection locked="0" hidden="0"/>
    </xf>
    <xf numFmtId="164" fontId="17" fillId="4" borderId="48" applyAlignment="1" applyProtection="1" pivotButton="0" quotePrefix="0" xfId="0">
      <alignment horizontal="general" vertical="bottom"/>
      <protection locked="0" hidden="0"/>
    </xf>
    <xf numFmtId="0" fontId="32" fillId="2" borderId="15" applyAlignment="1" pivotButton="0" quotePrefix="0" xfId="0">
      <alignment horizontal="left" vertical="bottom"/>
    </xf>
    <xf numFmtId="0" fontId="27" fillId="2" borderId="50" applyAlignment="1" pivotButton="0" quotePrefix="0" xfId="0">
      <alignment horizontal="center" vertical="bottom"/>
    </xf>
    <xf numFmtId="0" fontId="0" fillId="0" borderId="156" pivotButton="0" quotePrefix="0" xfId="0"/>
    <xf numFmtId="1" fontId="27" fillId="2" borderId="50" applyAlignment="1" pivotButton="0" quotePrefix="0" xfId="0">
      <alignment horizontal="center" vertical="center"/>
    </xf>
    <xf numFmtId="0" fontId="17" fillId="4" borderId="38" applyAlignment="1" applyProtection="1" pivotButton="0" quotePrefix="0" xfId="0">
      <alignment horizontal="left" vertical="center"/>
      <protection locked="0" hidden="0"/>
    </xf>
    <xf numFmtId="0" fontId="17" fillId="4" borderId="37" applyAlignment="1" applyProtection="1" pivotButton="0" quotePrefix="0" xfId="0">
      <alignment horizontal="left" vertical="center"/>
      <protection locked="0" hidden="0"/>
    </xf>
    <xf numFmtId="164" fontId="17" fillId="4" borderId="38" applyAlignment="1" applyProtection="1" pivotButton="0" quotePrefix="0" xfId="0">
      <alignment horizontal="left" vertical="bottom"/>
      <protection locked="0" hidden="0"/>
    </xf>
    <xf numFmtId="164" fontId="17" fillId="4" borderId="37" applyAlignment="1" applyProtection="1" pivotButton="0" quotePrefix="0" xfId="0">
      <alignment horizontal="left" vertical="bottom"/>
      <protection locked="0" hidden="0"/>
    </xf>
    <xf numFmtId="0" fontId="17" fillId="4" borderId="37" applyAlignment="1" applyProtection="1" pivotButton="0" quotePrefix="0" xfId="0">
      <alignment horizontal="left" vertical="bottom"/>
      <protection locked="0" hidden="0"/>
    </xf>
    <xf numFmtId="0" fontId="4" fillId="2" borderId="0" applyAlignment="1" applyProtection="1" pivotButton="0" quotePrefix="0" xfId="0">
      <alignment horizontal="left" vertical="center"/>
      <protection locked="0" hidden="0"/>
    </xf>
    <xf numFmtId="2" fontId="17" fillId="4" borderId="51" applyAlignment="1" applyProtection="1" pivotButton="0" quotePrefix="0" xfId="0">
      <alignment horizontal="center" vertical="center"/>
      <protection locked="0" hidden="0"/>
    </xf>
    <xf numFmtId="0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2" applyAlignment="1" applyProtection="1" pivotButton="0" quotePrefix="0" xfId="0">
      <alignment horizontal="general" vertical="bottom"/>
      <protection locked="0" hidden="0"/>
    </xf>
    <xf numFmtId="164" fontId="17" fillId="4" borderId="51" applyAlignment="1" applyProtection="1" pivotButton="0" quotePrefix="0" xfId="0">
      <alignment horizontal="general" vertical="bottom"/>
      <protection locked="0" hidden="0"/>
    </xf>
    <xf numFmtId="0" fontId="17" fillId="2" borderId="53" applyAlignment="1" applyProtection="1" pivotButton="0" quotePrefix="0" xfId="0">
      <alignment horizontal="center" vertical="bottom"/>
      <protection locked="0" hidden="0"/>
    </xf>
    <xf numFmtId="0" fontId="17" fillId="2" borderId="54" applyAlignment="1" applyProtection="1" pivotButton="0" quotePrefix="0" xfId="0">
      <alignment horizontal="left" vertical="bottom"/>
      <protection locked="0" hidden="0"/>
    </xf>
    <xf numFmtId="0" fontId="17" fillId="2" borderId="44" applyAlignment="1" applyProtection="1" pivotButton="0" quotePrefix="0" xfId="0">
      <alignment horizontal="left" vertical="bottom"/>
      <protection locked="0" hidden="0"/>
    </xf>
    <xf numFmtId="0" fontId="17" fillId="2" borderId="54" applyAlignment="1" applyProtection="1" pivotButton="0" quotePrefix="0" xfId="0">
      <alignment horizontal="center" vertical="bottom"/>
      <protection locked="0" hidden="0"/>
    </xf>
    <xf numFmtId="164" fontId="17" fillId="2" borderId="53" applyAlignment="1" applyProtection="1" pivotButton="0" quotePrefix="0" xfId="0">
      <alignment horizontal="center" vertical="bottom"/>
      <protection locked="0" hidden="0"/>
    </xf>
    <xf numFmtId="164" fontId="17" fillId="2" borderId="44" applyAlignment="1" applyProtection="1" pivotButton="0" quotePrefix="0" xfId="0">
      <alignment horizontal="left" vertical="bottom"/>
      <protection locked="0" hidden="0"/>
    </xf>
    <xf numFmtId="0" fontId="4" fillId="2" borderId="55" applyAlignment="1" pivotButton="0" quotePrefix="0" xfId="0">
      <alignment horizontal="right" vertical="center"/>
    </xf>
    <xf numFmtId="0" fontId="0" fillId="0" borderId="137" pivotButton="0" quotePrefix="0" xfId="0"/>
    <xf numFmtId="0" fontId="4" fillId="2" borderId="56" applyAlignment="1" pivotButton="0" quotePrefix="0" xfId="0">
      <alignment horizontal="general" vertical="bottom"/>
    </xf>
    <xf numFmtId="0" fontId="4" fillId="2" borderId="57" applyAlignment="1" pivotButton="0" quotePrefix="0" xfId="0">
      <alignment horizontal="center" vertical="center"/>
    </xf>
    <xf numFmtId="167" fontId="17" fillId="2" borderId="53" applyAlignment="1" pivotButton="0" quotePrefix="0" xfId="0">
      <alignment horizontal="center" vertical="bottom"/>
    </xf>
    <xf numFmtId="0" fontId="4" fillId="2" borderId="6" applyAlignment="1" pivotButton="0" quotePrefix="0" xfId="0">
      <alignment horizontal="right" vertical="center"/>
    </xf>
    <xf numFmtId="0" fontId="4" fillId="2" borderId="6" applyAlignment="1" pivotButton="0" quotePrefix="0" xfId="0">
      <alignment horizontal="center" vertical="center"/>
    </xf>
    <xf numFmtId="0" fontId="32" fillId="2" borderId="21" applyAlignment="1" pivotButton="0" quotePrefix="0" xfId="0">
      <alignment horizontal="left" vertical="bottom"/>
    </xf>
    <xf numFmtId="0" fontId="17" fillId="4" borderId="45" applyAlignment="1" applyProtection="1" pivotButton="0" quotePrefix="0" xfId="0">
      <alignment horizontal="center" vertical="center"/>
      <protection locked="0" hidden="0"/>
    </xf>
    <xf numFmtId="0" fontId="0" fillId="0" borderId="47" applyProtection="1" pivotButton="0" quotePrefix="0" xfId="0">
      <protection locked="0" hidden="0"/>
    </xf>
    <xf numFmtId="0" fontId="17" fillId="4" borderId="58" applyAlignment="1" applyProtection="1" pivotButton="0" quotePrefix="0" xfId="0">
      <alignment horizontal="center" vertical="center"/>
      <protection locked="0" hidden="0"/>
    </xf>
    <xf numFmtId="0" fontId="0" fillId="0" borderId="48" applyProtection="1" pivotButton="0" quotePrefix="0" xfId="0">
      <protection locked="0" hidden="0"/>
    </xf>
    <xf numFmtId="0" fontId="17" fillId="4" borderId="47" applyAlignment="1" applyProtection="1" pivotButton="0" quotePrefix="0" xfId="0">
      <alignment horizontal="center" vertical="center"/>
      <protection locked="0" hidden="0"/>
    </xf>
    <xf numFmtId="164" fontId="17" fillId="4" borderId="58" applyAlignment="1" applyProtection="1" pivotButton="0" quotePrefix="0" xfId="0">
      <alignment horizontal="center" vertical="center"/>
      <protection locked="0" hidden="0"/>
    </xf>
    <xf numFmtId="0" fontId="4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7" fontId="17" fillId="4" borderId="40" applyAlignment="1" applyProtection="1" pivotButton="0" quotePrefix="0" xfId="0">
      <alignment horizontal="center" vertical="center"/>
      <protection locked="0" hidden="0"/>
    </xf>
    <xf numFmtId="0" fontId="17" fillId="4" borderId="41" applyAlignment="1" applyProtection="1" pivotButton="0" quotePrefix="0" xfId="0">
      <alignment horizontal="left" vertical="center"/>
      <protection locked="0" hidden="0"/>
    </xf>
    <xf numFmtId="164" fontId="17" fillId="4" borderId="41" applyAlignment="1" applyProtection="1" pivotButton="0" quotePrefix="0" xfId="0">
      <alignment horizontal="left" vertical="center"/>
      <protection locked="0" hidden="0"/>
    </xf>
    <xf numFmtId="0" fontId="27" fillId="6" borderId="29" applyAlignment="1" applyProtection="1" pivotButton="0" quotePrefix="0" xfId="0">
      <alignment horizontal="left" vertical="bottom"/>
      <protection locked="0" hidden="0"/>
    </xf>
    <xf numFmtId="0" fontId="27" fillId="2" borderId="6" applyAlignment="1" applyProtection="1" pivotButton="0" quotePrefix="0" xfId="0">
      <alignment horizontal="left" vertical="center"/>
      <protection locked="0" hidden="0"/>
    </xf>
    <xf numFmtId="0" fontId="17" fillId="4" borderId="6" applyAlignment="1" applyProtection="1" pivotButton="0" quotePrefix="0" xfId="0">
      <alignment horizontal="general" vertical="bottom"/>
      <protection locked="0" hidden="0"/>
    </xf>
    <xf numFmtId="164" fontId="17" fillId="4" borderId="7" applyAlignment="1" applyProtection="1" pivotButton="0" quotePrefix="0" xfId="0">
      <alignment horizontal="general" vertical="bottom"/>
      <protection locked="0" hidden="0"/>
    </xf>
    <xf numFmtId="164" fontId="17" fillId="4" borderId="6" applyAlignment="1" applyProtection="1" pivotButton="0" quotePrefix="0" xfId="0">
      <alignment horizontal="general" vertical="bottom"/>
      <protection locked="0" hidden="0"/>
    </xf>
    <xf numFmtId="0" fontId="4" fillId="2" borderId="13" applyAlignment="1" pivotButton="0" quotePrefix="0" xfId="0">
      <alignment horizontal="right" vertical="center"/>
    </xf>
    <xf numFmtId="0" fontId="4" fillId="2" borderId="13" applyAlignment="1" pivotButton="0" quotePrefix="0" xfId="0">
      <alignment horizontal="center" vertical="center"/>
    </xf>
    <xf numFmtId="0" fontId="32" fillId="2" borderId="56" applyAlignment="1" pivotButton="0" quotePrefix="0" xfId="0">
      <alignment horizontal="left" vertical="bottom"/>
    </xf>
    <xf numFmtId="0" fontId="0" fillId="0" borderId="56" pivotButton="0" quotePrefix="0" xfId="0"/>
    <xf numFmtId="0" fontId="27" fillId="2" borderId="59" applyAlignment="1" pivotButton="0" quotePrefix="0" xfId="0">
      <alignment horizontal="center" vertical="bottom"/>
    </xf>
    <xf numFmtId="0" fontId="0" fillId="0" borderId="155" pivotButton="0" quotePrefix="0" xfId="0"/>
    <xf numFmtId="1" fontId="27" fillId="2" borderId="59" applyAlignment="1" pivotButton="0" quotePrefix="0" xfId="0">
      <alignment horizontal="center" vertical="center"/>
    </xf>
    <xf numFmtId="167" fontId="17" fillId="4" borderId="47" applyAlignment="1" applyProtection="1" pivotButton="0" quotePrefix="0" xfId="0">
      <alignment horizontal="center" vertical="bottom"/>
      <protection locked="0" hidden="0"/>
    </xf>
    <xf numFmtId="167" fontId="20" fillId="2" borderId="0" applyAlignment="1" pivotButton="0" quotePrefix="0" xfId="0">
      <alignment horizontal="general" vertical="bottom"/>
    </xf>
    <xf numFmtId="0" fontId="27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bottom"/>
    </xf>
    <xf numFmtId="2" fontId="17" fillId="4" borderId="36" applyAlignment="1" applyProtection="1" pivotButton="0" quotePrefix="0" xfId="0">
      <alignment horizontal="center" vertical="center"/>
      <protection locked="0" hidden="0"/>
    </xf>
    <xf numFmtId="2" fontId="17" fillId="4" borderId="37" applyAlignment="1" applyProtection="1" pivotButton="0" quotePrefix="0" xfId="0">
      <alignment horizontal="general" vertical="center"/>
      <protection locked="0" hidden="0"/>
    </xf>
    <xf numFmtId="2" fontId="17" fillId="4" borderId="37" applyAlignment="1" applyProtection="1" pivotButton="0" quotePrefix="0" xfId="0">
      <alignment horizontal="center" vertical="center"/>
      <protection locked="0" hidden="0"/>
    </xf>
    <xf numFmtId="0" fontId="27" fillId="2" borderId="25" applyAlignment="1" pivotButton="0" quotePrefix="0" xfId="0">
      <alignment horizontal="left" vertical="center"/>
    </xf>
    <xf numFmtId="0" fontId="4" fillId="2" borderId="18" applyAlignment="1" pivotButton="0" quotePrefix="0" xfId="0">
      <alignment horizontal="left" vertical="bottom"/>
    </xf>
    <xf numFmtId="0" fontId="32" fillId="2" borderId="5" applyAlignment="1" pivotButton="0" quotePrefix="0" xfId="0">
      <alignment horizontal="left" vertical="bottom"/>
    </xf>
    <xf numFmtId="0" fontId="32" fillId="2" borderId="7" applyAlignment="1" pivotButton="0" quotePrefix="0" xfId="0">
      <alignment horizontal="general" vertical="bottom"/>
    </xf>
    <xf numFmtId="0" fontId="33" fillId="4" borderId="17" applyAlignment="1" pivotButton="0" quotePrefix="0" xfId="0">
      <alignment horizontal="center" vertical="center"/>
    </xf>
    <xf numFmtId="0" fontId="33" fillId="4" borderId="25" applyAlignment="1" pivotButton="0" quotePrefix="0" xfId="0">
      <alignment horizontal="center" vertical="center"/>
    </xf>
    <xf numFmtId="0" fontId="17" fillId="4" borderId="36" applyAlignment="1" applyProtection="1" pivotButton="0" quotePrefix="0" xfId="0">
      <alignment horizontal="center" vertical="bottom"/>
      <protection locked="0" hidden="0"/>
    </xf>
    <xf numFmtId="0" fontId="17" fillId="4" borderId="47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center" vertical="bottom"/>
      <protection locked="0" hidden="0"/>
    </xf>
    <xf numFmtId="0" fontId="17" fillId="4" borderId="38" applyAlignment="1" applyProtection="1" pivotButton="0" quotePrefix="0" xfId="0">
      <alignment horizontal="general" vertical="bottom"/>
      <protection locked="0" hidden="0"/>
    </xf>
    <xf numFmtId="0" fontId="17" fillId="4" borderId="45" applyAlignment="1" applyProtection="1" pivotButton="0" quotePrefix="0" xfId="0">
      <alignment horizontal="center" vertical="bottom"/>
      <protection locked="0" hidden="0"/>
    </xf>
    <xf numFmtId="164" fontId="17" fillId="4" borderId="48" applyAlignment="1" applyProtection="1" pivotButton="0" quotePrefix="0" xfId="0">
      <alignment horizontal="left" vertical="bottom"/>
      <protection locked="0" hidden="0"/>
    </xf>
    <xf numFmtId="0" fontId="27" fillId="2" borderId="15" applyAlignment="1" pivotButton="0" quotePrefix="0" xfId="0">
      <alignment horizontal="left" vertical="center"/>
    </xf>
    <xf numFmtId="0" fontId="4" fillId="2" borderId="21" applyAlignment="1" pivotButton="0" quotePrefix="0" xfId="0">
      <alignment horizontal="left" vertical="bottom"/>
    </xf>
    <xf numFmtId="0" fontId="32" fillId="2" borderId="9" applyAlignment="1" pivotButton="0" quotePrefix="0" xfId="0">
      <alignment horizontal="left" vertical="bottom"/>
    </xf>
    <xf numFmtId="0" fontId="32" fillId="2" borderId="10" applyAlignment="1" pivotButton="0" quotePrefix="0" xfId="0">
      <alignment horizontal="left" vertical="bottom"/>
    </xf>
    <xf numFmtId="0" fontId="33" fillId="4" borderId="15" applyAlignment="1" pivotButton="0" quotePrefix="0" xfId="0">
      <alignment horizontal="center" vertical="center"/>
    </xf>
    <xf numFmtId="0" fontId="17" fillId="4" borderId="53" applyAlignment="1" applyProtection="1" pivotButton="0" quotePrefix="0" xfId="0">
      <alignment horizontal="center" vertical="bottom"/>
      <protection locked="0" hidden="0"/>
    </xf>
    <xf numFmtId="0" fontId="17" fillId="4" borderId="44" applyAlignment="1" applyProtection="1" pivotButton="0" quotePrefix="0" xfId="0">
      <alignment horizontal="left" vertical="bottom"/>
      <protection locked="0" hidden="0"/>
    </xf>
    <xf numFmtId="164" fontId="17" fillId="4" borderId="53" applyAlignment="1" applyProtection="1" pivotButton="0" quotePrefix="0" xfId="0">
      <alignment horizontal="center" vertical="bottom"/>
      <protection locked="0" hidden="0"/>
    </xf>
    <xf numFmtId="164" fontId="17" fillId="4" borderId="54" applyAlignment="1" applyProtection="1" pivotButton="0" quotePrefix="0" xfId="0">
      <alignment horizontal="center" vertical="bottom"/>
      <protection locked="0" hidden="0"/>
    </xf>
    <xf numFmtId="164" fontId="17" fillId="4" borderId="36" applyAlignment="1" applyProtection="1" pivotButton="0" quotePrefix="0" xfId="0">
      <alignment horizontal="center" vertical="bottom"/>
      <protection locked="0" hidden="0"/>
    </xf>
    <xf numFmtId="0" fontId="27" fillId="2" borderId="28" applyAlignment="1" pivotButton="0" quotePrefix="0" xfId="0">
      <alignment horizontal="center" vertical="bottom"/>
    </xf>
    <xf numFmtId="0" fontId="32" fillId="2" borderId="8" applyAlignment="1" pivotButton="0" quotePrefix="0" xfId="0">
      <alignment horizontal="left" vertical="bottom"/>
    </xf>
    <xf numFmtId="167" fontId="17" fillId="4" borderId="36" applyAlignment="1" applyProtection="1" pivotButton="0" quotePrefix="0" xfId="0">
      <alignment horizontal="center" vertical="center"/>
      <protection locked="0" hidden="0"/>
    </xf>
    <xf numFmtId="167" fontId="17" fillId="4" borderId="54" applyAlignment="1" applyProtection="1" pivotButton="0" quotePrefix="0" xfId="0">
      <alignment horizontal="center" vertical="center"/>
      <protection locked="0" hidden="0"/>
    </xf>
    <xf numFmtId="0" fontId="17" fillId="4" borderId="54" applyAlignment="1" applyProtection="1" pivotButton="0" quotePrefix="0" xfId="0">
      <alignment horizontal="general" vertical="bottom"/>
      <protection locked="0" hidden="0"/>
    </xf>
    <xf numFmtId="167" fontId="17" fillId="4" borderId="38" applyAlignment="1" applyProtection="1" pivotButton="0" quotePrefix="0" xfId="0">
      <alignment horizontal="center" vertical="center"/>
      <protection locked="0" hidden="0"/>
    </xf>
    <xf numFmtId="167" fontId="17" fillId="4" borderId="53" applyAlignment="1" applyProtection="1" pivotButton="0" quotePrefix="0" xfId="0">
      <alignment horizontal="center" vertical="center"/>
      <protection locked="0" hidden="0"/>
    </xf>
    <xf numFmtId="164" fontId="17" fillId="4" borderId="44" applyAlignment="1" applyProtection="1" pivotButton="0" quotePrefix="0" xfId="0">
      <alignment horizontal="left" vertical="bottom"/>
      <protection locked="0" hidden="0"/>
    </xf>
    <xf numFmtId="167" fontId="17" fillId="4" borderId="9" applyAlignment="1" applyProtection="1" pivotButton="0" quotePrefix="0" xfId="0">
      <alignment horizontal="center" vertical="center"/>
      <protection locked="0" hidden="0"/>
    </xf>
    <xf numFmtId="0" fontId="17" fillId="4" borderId="10" applyAlignment="1" applyProtection="1" pivotButton="0" quotePrefix="0" xfId="0">
      <alignment horizontal="general" vertical="bottom"/>
      <protection locked="0" hidden="0"/>
    </xf>
    <xf numFmtId="167" fontId="17" fillId="4" borderId="0" applyAlignment="1" applyProtection="1" pivotButton="0" quotePrefix="0" xfId="0">
      <alignment horizontal="center" vertical="center"/>
      <protection locked="0" hidden="0"/>
    </xf>
    <xf numFmtId="0" fontId="17" fillId="4" borderId="0" applyAlignment="1" applyProtection="1" pivotButton="0" quotePrefix="0" xfId="0">
      <alignment horizontal="general" vertical="bottom"/>
      <protection locked="0" hidden="0"/>
    </xf>
    <xf numFmtId="164" fontId="17" fillId="4" borderId="10" applyAlignment="1" applyProtection="1" pivotButton="0" quotePrefix="0" xfId="0">
      <alignment horizontal="left" vertical="bottom"/>
      <protection locked="0" hidden="0"/>
    </xf>
    <xf numFmtId="0" fontId="4" fillId="2" borderId="9" applyAlignment="1" applyProtection="1" pivotButton="0" quotePrefix="0" xfId="0">
      <alignment horizontal="left" vertical="center"/>
      <protection locked="0" hidden="0"/>
    </xf>
    <xf numFmtId="167" fontId="17" fillId="2" borderId="36" applyAlignment="1" pivotButton="0" quotePrefix="0" xfId="0">
      <alignment horizontal="center" vertical="bottom"/>
    </xf>
    <xf numFmtId="0" fontId="17" fillId="2" borderId="37" applyAlignment="1" pivotButton="0" quotePrefix="0" xfId="0">
      <alignment horizontal="left" vertical="center"/>
    </xf>
    <xf numFmtId="0" fontId="17" fillId="2" borderId="44" applyAlignment="1" pivotButton="0" quotePrefix="0" xfId="0">
      <alignment horizontal="left" vertical="center"/>
    </xf>
    <xf numFmtId="167" fontId="42" fillId="0" borderId="0" applyAlignment="1" pivotButton="0" quotePrefix="0" xfId="0">
      <alignment horizontal="general" vertical="bottom"/>
    </xf>
    <xf numFmtId="0" fontId="27" fillId="2" borderId="22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bottom"/>
    </xf>
    <xf numFmtId="0" fontId="27" fillId="6" borderId="1" applyAlignment="1" pivotButton="0" quotePrefix="0" xfId="0">
      <alignment horizontal="left" vertical="center"/>
    </xf>
    <xf numFmtId="0" fontId="17" fillId="2" borderId="53" applyAlignment="1" pivotButton="0" quotePrefix="0" xfId="0">
      <alignment horizontal="center" vertical="bottom"/>
    </xf>
    <xf numFmtId="0" fontId="17" fillId="2" borderId="44" applyAlignment="1" pivotButton="0" quotePrefix="0" xfId="0">
      <alignment horizontal="left" vertical="bottom"/>
    </xf>
    <xf numFmtId="0" fontId="4" fillId="6" borderId="3" applyAlignment="1" pivotButton="0" quotePrefix="0" xfId="0">
      <alignment horizontal="general" vertical="bottom"/>
    </xf>
    <xf numFmtId="0" fontId="4" fillId="6" borderId="11" applyAlignment="1" pivotButton="0" quotePrefix="0" xfId="0">
      <alignment horizontal="general" vertical="bottom"/>
    </xf>
    <xf numFmtId="0" fontId="4" fillId="11" borderId="25" applyAlignment="1" pivotButton="0" quotePrefix="0" xfId="0">
      <alignment horizontal="center" vertical="center"/>
    </xf>
    <xf numFmtId="172" fontId="17" fillId="4" borderId="39" applyAlignment="1" applyProtection="1" pivotButton="0" quotePrefix="0" xfId="0">
      <alignment horizontal="center" vertical="bottom"/>
      <protection locked="0" hidden="0"/>
    </xf>
    <xf numFmtId="0" fontId="4" fillId="11" borderId="26" applyAlignment="1" pivotButton="0" quotePrefix="0" xfId="0">
      <alignment horizontal="left" vertical="center" wrapText="1"/>
    </xf>
    <xf numFmtId="167" fontId="4" fillId="4" borderId="25" applyAlignment="1" pivotButton="0" quotePrefix="0" xfId="0">
      <alignment horizontal="center" vertical="bottom"/>
    </xf>
    <xf numFmtId="0" fontId="4" fillId="2" borderId="14" applyAlignment="1" applyProtection="1" pivotButton="0" quotePrefix="0" xfId="0">
      <alignment horizontal="left" vertical="center"/>
      <protection locked="0" hidden="0"/>
    </xf>
    <xf numFmtId="0" fontId="4" fillId="2" borderId="13" applyAlignment="1" applyProtection="1" pivotButton="0" quotePrefix="0" xfId="0">
      <alignment horizontal="left" vertical="center"/>
      <protection locked="0" hidden="0"/>
    </xf>
    <xf numFmtId="20" fontId="13" fillId="2" borderId="40" applyAlignment="1" pivotButton="0" quotePrefix="0" xfId="0">
      <alignment horizontal="center" vertical="bottom"/>
    </xf>
    <xf numFmtId="0" fontId="13" fillId="2" borderId="41" applyAlignment="1" pivotButton="0" quotePrefix="0" xfId="0">
      <alignment horizontal="general" vertical="bottom"/>
    </xf>
    <xf numFmtId="0" fontId="4" fillId="11" borderId="15" applyAlignment="1" pivotButton="0" quotePrefix="0" xfId="0">
      <alignment horizontal="left" vertical="center" wrapText="1"/>
    </xf>
    <xf numFmtId="167" fontId="4" fillId="4" borderId="15" applyAlignment="1" pivotButton="0" quotePrefix="0" xfId="0">
      <alignment horizontal="center" vertical="bottom"/>
    </xf>
    <xf numFmtId="0" fontId="4" fillId="2" borderId="0" applyAlignment="1" applyProtection="1" pivotButton="0" quotePrefix="0" xfId="0">
      <alignment horizontal="general" vertical="bottom"/>
      <protection locked="0" hidden="0"/>
    </xf>
    <xf numFmtId="167" fontId="17" fillId="2" borderId="5" applyAlignment="1" applyProtection="1" pivotButton="0" quotePrefix="0" xfId="0">
      <alignment horizontal="center" vertical="bottom"/>
      <protection locked="0" hidden="0"/>
    </xf>
    <xf numFmtId="0" fontId="17" fillId="2" borderId="7" applyAlignment="1" applyProtection="1" pivotButton="0" quotePrefix="0" xfId="0">
      <alignment horizontal="general" vertical="bottom"/>
      <protection locked="0" hidden="0"/>
    </xf>
    <xf numFmtId="167" fontId="17" fillId="2" borderId="6" applyAlignment="1" applyProtection="1" pivotButton="0" quotePrefix="0" xfId="0">
      <alignment horizontal="center" vertical="bottom"/>
      <protection locked="0" hidden="0"/>
    </xf>
    <xf numFmtId="0" fontId="17" fillId="2" borderId="6" applyAlignment="1" applyProtection="1" pivotButton="0" quotePrefix="0" xfId="0">
      <alignment horizontal="general" vertical="bottom"/>
      <protection locked="0" hidden="0"/>
    </xf>
    <xf numFmtId="164" fontId="17" fillId="2" borderId="7" applyAlignment="1" applyProtection="1" pivotButton="0" quotePrefix="0" xfId="0">
      <alignment horizontal="general" vertical="bottom"/>
      <protection locked="0" hidden="0"/>
    </xf>
    <xf numFmtId="164" fontId="17" fillId="2" borderId="6" applyAlignment="1" applyProtection="1" pivotButton="0" quotePrefix="0" xfId="0">
      <alignment horizontal="general" vertical="bottom"/>
      <protection locked="0" hidden="0"/>
    </xf>
    <xf numFmtId="0" fontId="4" fillId="4" borderId="15" applyAlignment="1" pivotButton="0" quotePrefix="0" xfId="0">
      <alignment horizontal="left" vertical="bottom"/>
    </xf>
    <xf numFmtId="167" fontId="17" fillId="2" borderId="45" applyAlignment="1" applyProtection="1" pivotButton="0" quotePrefix="0" xfId="0">
      <alignment horizontal="center" vertical="bottom"/>
      <protection locked="0" hidden="0"/>
    </xf>
    <xf numFmtId="0" fontId="17" fillId="2" borderId="48" applyAlignment="1" applyProtection="1" pivotButton="0" quotePrefix="0" xfId="0">
      <alignment horizontal="general" vertical="bottom"/>
      <protection locked="0" hidden="0"/>
    </xf>
    <xf numFmtId="167" fontId="17" fillId="2" borderId="47" applyAlignment="1" applyProtection="1" pivotButton="0" quotePrefix="0" xfId="0">
      <alignment horizontal="center" vertical="bottom"/>
      <protection locked="0" hidden="0"/>
    </xf>
    <xf numFmtId="0" fontId="17" fillId="2" borderId="47" applyAlignment="1" applyProtection="1" pivotButton="0" quotePrefix="0" xfId="0">
      <alignment horizontal="general" vertical="bottom"/>
      <protection locked="0" hidden="0"/>
    </xf>
    <xf numFmtId="0" fontId="4" fillId="11" borderId="15" applyAlignment="1" pivotButton="0" quotePrefix="0" xfId="0">
      <alignment horizontal="center" vertical="center" wrapText="1"/>
    </xf>
    <xf numFmtId="0" fontId="4" fillId="4" borderId="15" applyAlignment="1" pivotButton="0" quotePrefix="0" xfId="0">
      <alignment horizontal="center" vertical="bottom"/>
    </xf>
    <xf numFmtId="2" fontId="17" fillId="2" borderId="39" applyAlignment="1" applyProtection="1" pivotButton="0" quotePrefix="0" xfId="0">
      <alignment horizontal="center" vertical="center"/>
      <protection locked="0" hidden="0"/>
    </xf>
    <xf numFmtId="1" fontId="4" fillId="4" borderId="15" applyAlignment="1" pivotButton="0" quotePrefix="0" xfId="0">
      <alignment horizontal="center" vertical="bottom"/>
    </xf>
    <xf numFmtId="2" fontId="17" fillId="2" borderId="37" applyAlignment="1" applyProtection="1" pivotButton="0" quotePrefix="0" xfId="0">
      <alignment horizontal="general" vertical="center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center" vertical="bottom"/>
      <protection locked="0" hidden="0"/>
    </xf>
    <xf numFmtId="0" fontId="17" fillId="2" borderId="60" applyAlignment="1" applyProtection="1" pivotButton="0" quotePrefix="0" xfId="0">
      <alignment horizontal="general" vertical="bottom"/>
      <protection locked="0" hidden="0"/>
    </xf>
    <xf numFmtId="164" fontId="17" fillId="2" borderId="41" applyAlignment="1" applyProtection="1" pivotButton="0" quotePrefix="0" xfId="0">
      <alignment horizontal="left" vertical="bottom"/>
      <protection locked="0" hidden="0"/>
    </xf>
    <xf numFmtId="166" fontId="4" fillId="4" borderId="15" applyAlignment="1" pivotButton="0" quotePrefix="0" xfId="0">
      <alignment horizontal="center" vertical="bottom"/>
    </xf>
    <xf numFmtId="0" fontId="43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pivotButton="0" quotePrefix="0" xfId="0">
      <alignment horizontal="general" vertical="center" wrapText="1"/>
    </xf>
    <xf numFmtId="0" fontId="4" fillId="2" borderId="0" applyAlignment="1" pivotButton="0" quotePrefix="0" xfId="0">
      <alignment horizontal="general" vertical="bottom" wrapText="1"/>
    </xf>
    <xf numFmtId="167" fontId="20" fillId="2" borderId="0" applyAlignment="1" pivotButton="0" quotePrefix="0" xfId="0">
      <alignment horizontal="general" vertical="bottom" wrapText="1"/>
    </xf>
    <xf numFmtId="0" fontId="4" fillId="11" borderId="2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bottom"/>
    </xf>
    <xf numFmtId="0" fontId="4" fillId="4" borderId="22" applyAlignment="1" pivotButton="0" quotePrefix="0" xfId="0">
      <alignment horizontal="center" vertical="bottom"/>
    </xf>
    <xf numFmtId="0" fontId="20" fillId="2" borderId="0" applyAlignment="1" pivotButton="0" quotePrefix="0" xfId="0">
      <alignment horizontal="general" vertical="center" wrapText="1"/>
    </xf>
    <xf numFmtId="0" fontId="44" fillId="2" borderId="0" applyAlignment="1" pivotButton="0" quotePrefix="0" xfId="0">
      <alignment horizontal="center" vertical="center"/>
    </xf>
    <xf numFmtId="167" fontId="44" fillId="2" borderId="0" applyAlignment="1" pivotButton="0" quotePrefix="0" xfId="0">
      <alignment horizontal="center" vertical="center"/>
    </xf>
    <xf numFmtId="20" fontId="44" fillId="2" borderId="0" applyAlignment="1" pivotButton="0" quotePrefix="0" xfId="0">
      <alignment horizontal="center" vertical="center"/>
    </xf>
    <xf numFmtId="2" fontId="44" fillId="2" borderId="0" applyAlignment="1" pivotButton="0" quotePrefix="0" xfId="0">
      <alignment horizontal="center" vertical="center"/>
    </xf>
    <xf numFmtId="164" fontId="44" fillId="2" borderId="0" applyAlignment="1" pivotButton="0" quotePrefix="0" xfId="0">
      <alignment horizontal="center" vertical="center"/>
    </xf>
    <xf numFmtId="1" fontId="44" fillId="2" borderId="0" applyAlignment="1" pivotButton="0" quotePrefix="0" xfId="0">
      <alignment horizontal="center" vertical="center"/>
    </xf>
    <xf numFmtId="0" fontId="44" fillId="2" borderId="0" applyAlignment="1" pivotButton="0" quotePrefix="0" xfId="0">
      <alignment horizontal="general" vertical="bottom"/>
    </xf>
    <xf numFmtId="166" fontId="44" fillId="2" borderId="3" applyAlignment="1" pivotButton="0" quotePrefix="0" xfId="0">
      <alignment horizontal="center" vertical="center"/>
    </xf>
    <xf numFmtId="2" fontId="44" fillId="2" borderId="29" applyAlignment="1" pivotButton="0" quotePrefix="0" xfId="0">
      <alignment horizontal="center" vertical="center"/>
    </xf>
    <xf numFmtId="167" fontId="44" fillId="2" borderId="29" applyAlignment="1" pivotButton="0" quotePrefix="0" xfId="0">
      <alignment horizontal="center" vertical="center"/>
    </xf>
    <xf numFmtId="0" fontId="44" fillId="2" borderId="29" applyAlignment="1" pivotButton="0" quotePrefix="0" xfId="0">
      <alignment horizontal="center" vertical="center"/>
    </xf>
    <xf numFmtId="20" fontId="44" fillId="2" borderId="29" applyAlignment="1" pivotButton="0" quotePrefix="0" xfId="0">
      <alignment horizontal="center" vertical="center"/>
    </xf>
    <xf numFmtId="10" fontId="44" fillId="2" borderId="29" applyAlignment="1" pivotButton="0" quotePrefix="0" xfId="0">
      <alignment horizontal="center" vertical="center"/>
    </xf>
    <xf numFmtId="1" fontId="44" fillId="2" borderId="29" applyAlignment="1" pivotButton="0" quotePrefix="0" xfId="0">
      <alignment horizontal="center" vertical="center"/>
    </xf>
    <xf numFmtId="0" fontId="44" fillId="2" borderId="11" applyAlignment="1" pivotButton="0" quotePrefix="0" xfId="0">
      <alignment horizontal="center" vertical="center"/>
    </xf>
    <xf numFmtId="164" fontId="6" fillId="2" borderId="0" applyAlignment="1" applyProtection="1" pivotButton="0" quotePrefix="0" xfId="28">
      <alignment horizontal="general" vertical="bottom"/>
      <protection locked="0" hidden="0"/>
    </xf>
    <xf numFmtId="0" fontId="45" fillId="2" borderId="61" applyAlignment="1" applyProtection="1" pivotButton="0" quotePrefix="0" xfId="0">
      <alignment horizontal="center" vertical="bottom"/>
      <protection locked="0" hidden="0"/>
    </xf>
    <xf numFmtId="0" fontId="46" fillId="2" borderId="62" applyAlignment="1" applyProtection="1" pivotButton="0" quotePrefix="0" xfId="0">
      <alignment horizontal="center" vertical="center"/>
      <protection locked="0" hidden="0"/>
    </xf>
    <xf numFmtId="0" fontId="0" fillId="0" borderId="112" applyProtection="1" pivotButton="0" quotePrefix="0" xfId="0">
      <protection locked="0" hidden="0"/>
    </xf>
    <xf numFmtId="0" fontId="0" fillId="0" borderId="157" applyProtection="1" pivotButton="0" quotePrefix="0" xfId="0">
      <protection locked="0" hidden="0"/>
    </xf>
    <xf numFmtId="0" fontId="45" fillId="2" borderId="63" applyAlignment="1" applyProtection="1" pivotButton="0" quotePrefix="0" xfId="0">
      <alignment horizontal="center" vertical="center"/>
      <protection locked="0" hidden="0"/>
    </xf>
    <xf numFmtId="0" fontId="45" fillId="2" borderId="64" applyAlignment="1" applyProtection="1" pivotButton="0" quotePrefix="0" xfId="0">
      <alignment horizontal="center" vertical="center"/>
      <protection locked="0" hidden="0"/>
    </xf>
    <xf numFmtId="0" fontId="47" fillId="0" borderId="65" applyAlignment="1" pivotButton="0" quotePrefix="0" xfId="0">
      <alignment horizontal="center" vertical="center"/>
    </xf>
    <xf numFmtId="0" fontId="6" fillId="2" borderId="66" applyAlignment="1" applyProtection="1" pivotButton="0" quotePrefix="0" xfId="0">
      <alignment horizontal="left" vertical="bottom"/>
      <protection locked="0" hidden="0"/>
    </xf>
    <xf numFmtId="0" fontId="0" fillId="0" borderId="69" applyProtection="1" pivotButton="0" quotePrefix="0" xfId="0">
      <protection locked="0" hidden="0"/>
    </xf>
    <xf numFmtId="0" fontId="6" fillId="2" borderId="67" applyAlignment="1" applyProtection="1" pivotButton="0" quotePrefix="0" xfId="0">
      <alignment horizontal="general" vertical="bottom"/>
      <protection locked="0" hidden="0"/>
    </xf>
    <xf numFmtId="0" fontId="6" fillId="2" borderId="68" applyAlignment="1" applyProtection="1" pivotButton="0" quotePrefix="0" xfId="0">
      <alignment horizontal="center" vertical="bottom"/>
      <protection locked="0" hidden="0"/>
    </xf>
    <xf numFmtId="0" fontId="6" fillId="2" borderId="66" applyAlignment="1" applyProtection="1" pivotButton="0" quotePrefix="0" xfId="0">
      <alignment horizontal="center" vertical="bottom"/>
      <protection locked="0" hidden="0"/>
    </xf>
    <xf numFmtId="0" fontId="0" fillId="0" borderId="70" applyProtection="1" pivotButton="0" quotePrefix="0" xfId="0">
      <protection locked="0" hidden="0"/>
    </xf>
    <xf numFmtId="0" fontId="6" fillId="2" borderId="0" applyAlignment="1" applyProtection="1" pivotButton="0" quotePrefix="0" xfId="0">
      <alignment horizontal="center" vertical="bottom"/>
      <protection locked="0" hidden="0"/>
    </xf>
    <xf numFmtId="0" fontId="0" fillId="0" borderId="76" applyProtection="1" pivotButton="0" quotePrefix="0" xfId="0">
      <protection locked="0" hidden="0"/>
    </xf>
    <xf numFmtId="0" fontId="0" fillId="0" borderId="83" applyProtection="1" pivotButton="0" quotePrefix="0" xfId="0">
      <protection locked="0" hidden="0"/>
    </xf>
    <xf numFmtId="0" fontId="0" fillId="0" borderId="159" applyProtection="1" pivotButton="0" quotePrefix="0" xfId="0">
      <protection locked="0" hidden="0"/>
    </xf>
    <xf numFmtId="0" fontId="0" fillId="0" borderId="162" applyProtection="1" pivotButton="0" quotePrefix="0" xfId="0">
      <protection locked="0" hidden="0"/>
    </xf>
    <xf numFmtId="0" fontId="0" fillId="0" borderId="164" applyProtection="1" pivotButton="0" quotePrefix="0" xfId="0">
      <protection locked="0" hidden="0"/>
    </xf>
    <xf numFmtId="0" fontId="0" fillId="0" borderId="167" pivotButton="0" quotePrefix="0" xfId="0"/>
    <xf numFmtId="0" fontId="6" fillId="2" borderId="69" applyAlignment="1" applyProtection="1" pivotButton="0" quotePrefix="0" xfId="0">
      <alignment horizontal="general" vertical="bottom"/>
      <protection locked="0" hidden="0"/>
    </xf>
    <xf numFmtId="167" fontId="48" fillId="3" borderId="67" applyAlignment="1" pivotButton="0" quotePrefix="0" xfId="0">
      <alignment horizontal="center" vertical="center"/>
    </xf>
    <xf numFmtId="167" fontId="49" fillId="6" borderId="70" applyAlignment="1" pivotButton="0" quotePrefix="0" xfId="0">
      <alignment horizontal="center" vertical="bottom"/>
    </xf>
    <xf numFmtId="0" fontId="6" fillId="2" borderId="71" applyAlignment="1" applyProtection="1" pivotButton="0" quotePrefix="0" xfId="0">
      <alignment horizontal="left" vertical="bottom"/>
      <protection locked="0" hidden="0"/>
    </xf>
    <xf numFmtId="0" fontId="6" fillId="2" borderId="69" applyAlignment="1" applyProtection="1" pivotButton="0" quotePrefix="0" xfId="0">
      <alignment horizontal="left" vertical="bottom"/>
      <protection locked="0" hidden="0"/>
    </xf>
    <xf numFmtId="1" fontId="49" fillId="6" borderId="72" applyAlignment="1" pivotButton="0" quotePrefix="0" xfId="0">
      <alignment horizontal="center" vertical="bottom"/>
    </xf>
    <xf numFmtId="0" fontId="50" fillId="2" borderId="0" applyAlignment="1" applyProtection="1" pivotButton="0" quotePrefix="0" xfId="0">
      <alignment horizontal="center" vertical="bottom"/>
      <protection locked="0" hidden="0"/>
    </xf>
    <xf numFmtId="0" fontId="46" fillId="4" borderId="62" applyAlignment="1" pivotButton="0" quotePrefix="0" xfId="0">
      <alignment horizontal="center" vertical="center"/>
    </xf>
    <xf numFmtId="0" fontId="0" fillId="0" borderId="112" pivotButton="0" quotePrefix="0" xfId="0"/>
    <xf numFmtId="0" fontId="0" fillId="0" borderId="157" pivotButton="0" quotePrefix="0" xfId="0"/>
    <xf numFmtId="0" fontId="51" fillId="4" borderId="63" applyAlignment="1" pivotButton="0" quotePrefix="0" xfId="0">
      <alignment horizontal="center" vertical="center"/>
    </xf>
    <xf numFmtId="0" fontId="51" fillId="4" borderId="64" applyAlignment="1" applyProtection="1" pivotButton="0" quotePrefix="0" xfId="0">
      <alignment horizontal="center" vertical="center"/>
      <protection locked="0" hidden="0"/>
    </xf>
    <xf numFmtId="166" fontId="47" fillId="0" borderId="73" applyAlignment="1" pivotButton="0" quotePrefix="0" xfId="0">
      <alignment horizontal="center" vertical="center"/>
    </xf>
    <xf numFmtId="0" fontId="6" fillId="2" borderId="74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general" vertical="bottom"/>
      <protection locked="0" hidden="0"/>
    </xf>
    <xf numFmtId="167" fontId="48" fillId="3" borderId="8" applyAlignment="1" pivotButton="0" quotePrefix="0" xfId="0">
      <alignment horizontal="center" vertical="center"/>
    </xf>
    <xf numFmtId="1" fontId="49" fillId="6" borderId="75" applyAlignment="1" pivotButton="0" quotePrefix="0" xfId="0">
      <alignment horizontal="center" vertical="bottom"/>
    </xf>
    <xf numFmtId="0" fontId="6" fillId="2" borderId="61" applyAlignment="1" applyProtection="1" pivotButton="0" quotePrefix="0" xfId="0">
      <alignment horizontal="left" vertical="bottom"/>
      <protection locked="0" hidden="0"/>
    </xf>
    <xf numFmtId="0" fontId="6" fillId="2" borderId="10" applyAlignment="1" applyProtection="1" pivotButton="0" quotePrefix="0" xfId="0">
      <alignment horizontal="left" vertical="bottom"/>
      <protection locked="0" hidden="0"/>
    </xf>
    <xf numFmtId="0" fontId="6" fillId="2" borderId="8" applyAlignment="1" applyProtection="1" pivotButton="0" quotePrefix="0" xfId="0">
      <alignment horizontal="general" vertical="bottom"/>
      <protection locked="0" hidden="0"/>
    </xf>
    <xf numFmtId="1" fontId="48" fillId="3" borderId="8" applyAlignment="1" pivotButton="0" quotePrefix="0" xfId="0">
      <alignment horizontal="center" vertical="center"/>
    </xf>
    <xf numFmtId="1" fontId="49" fillId="6" borderId="9" applyAlignment="1" pivotButton="0" quotePrefix="0" xfId="0">
      <alignment horizontal="center" vertical="bottom"/>
    </xf>
    <xf numFmtId="167" fontId="49" fillId="6" borderId="75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center" vertical="center" wrapText="1"/>
      <protection locked="0" hidden="0"/>
    </xf>
    <xf numFmtId="0" fontId="0" fillId="0" borderId="76" pivotButton="0" quotePrefix="0" xfId="0"/>
    <xf numFmtId="0" fontId="0" fillId="0" borderId="83" pivotButton="0" quotePrefix="0" xfId="0"/>
    <xf numFmtId="0" fontId="0" fillId="0" borderId="159" pivotButton="0" quotePrefix="0" xfId="0"/>
    <xf numFmtId="0" fontId="0" fillId="0" borderId="162" pivotButton="0" quotePrefix="0" xfId="0"/>
    <xf numFmtId="0" fontId="0" fillId="0" borderId="169" pivotButton="0" quotePrefix="0" xfId="0"/>
    <xf numFmtId="167" fontId="49" fillId="6" borderId="9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center" vertical="bottom"/>
      <protection locked="0" hidden="0"/>
    </xf>
    <xf numFmtId="0" fontId="53" fillId="2" borderId="0" applyAlignment="1" applyProtection="1" pivotButton="0" quotePrefix="0" xfId="0">
      <alignment horizontal="center" vertical="bottom"/>
      <protection locked="0" hidden="0"/>
    </xf>
    <xf numFmtId="0" fontId="6" fillId="2" borderId="76" applyAlignment="1" applyProtection="1" pivotButton="0" quotePrefix="0" xfId="0">
      <alignment horizontal="left" vertical="bottom"/>
      <protection locked="0" hidden="0"/>
    </xf>
    <xf numFmtId="0" fontId="6" fillId="2" borderId="77" applyAlignment="1" applyProtection="1" pivotButton="0" quotePrefix="0" xfId="0">
      <alignment horizontal="left" vertical="bottom"/>
      <protection locked="0" hidden="0"/>
    </xf>
    <xf numFmtId="0" fontId="6" fillId="2" borderId="78" applyAlignment="1" applyProtection="1" pivotButton="0" quotePrefix="0" xfId="0">
      <alignment horizontal="general" vertical="bottom"/>
      <protection locked="0" hidden="0"/>
    </xf>
    <xf numFmtId="167" fontId="48" fillId="3" borderId="78" applyAlignment="1" pivotButton="0" quotePrefix="0" xfId="0">
      <alignment horizontal="center" vertical="center"/>
    </xf>
    <xf numFmtId="167" fontId="49" fillId="6" borderId="79" applyAlignment="1" pivotButton="0" quotePrefix="0" xfId="0">
      <alignment horizontal="center" vertical="bottom"/>
    </xf>
    <xf numFmtId="167" fontId="49" fillId="6" borderId="80" applyAlignment="1" pivotButton="0" quotePrefix="0" xfId="0">
      <alignment horizontal="center" vertical="bottom"/>
    </xf>
    <xf numFmtId="0" fontId="52" fillId="2" borderId="0" applyAlignment="1" applyProtection="1" pivotButton="0" quotePrefix="0" xfId="0">
      <alignment horizontal="general" vertical="bottom"/>
      <protection locked="0" hidden="0"/>
    </xf>
    <xf numFmtId="0" fontId="6" fillId="2" borderId="80" applyAlignment="1" applyProtection="1" pivotButton="0" quotePrefix="0" xfId="0">
      <alignment horizontal="center" vertical="center"/>
      <protection locked="0" hidden="0"/>
    </xf>
    <xf numFmtId="0" fontId="0" fillId="0" borderId="80" applyProtection="1" pivotButton="0" quotePrefix="0" xfId="0">
      <protection locked="0" hidden="0"/>
    </xf>
    <xf numFmtId="167" fontId="49" fillId="6" borderId="81" applyAlignment="1" pivotButton="0" quotePrefix="0" xfId="0">
      <alignment horizontal="center" vertical="bottom"/>
    </xf>
    <xf numFmtId="0" fontId="0" fillId="0" borderId="75" pivotButton="0" quotePrefix="0" xfId="0"/>
    <xf numFmtId="0" fontId="6" fillId="2" borderId="82" applyAlignment="1" applyProtection="1" pivotButton="0" quotePrefix="0" xfId="0">
      <alignment horizontal="left" vertical="bottom"/>
      <protection locked="0" hidden="0"/>
    </xf>
    <xf numFmtId="0" fontId="0" fillId="0" borderId="77" applyProtection="1" pivotButton="0" quotePrefix="0" xfId="0">
      <protection locked="0" hidden="0"/>
    </xf>
    <xf numFmtId="0" fontId="6" fillId="2" borderId="77" applyAlignment="1" applyProtection="1" pivotButton="0" quotePrefix="0" xfId="0">
      <alignment horizontal="general" vertical="bottom"/>
      <protection locked="0" hidden="0"/>
    </xf>
    <xf numFmtId="0" fontId="6" fillId="2" borderId="83" applyAlignment="1" applyProtection="1" pivotButton="0" quotePrefix="0" xfId="0">
      <alignment horizontal="left" vertical="bottom"/>
      <protection locked="0" hidden="0"/>
    </xf>
    <xf numFmtId="167" fontId="49" fillId="6" borderId="79" applyAlignment="1" applyProtection="1" pivotButton="0" quotePrefix="0" xfId="0">
      <alignment horizontal="center" vertical="bottom"/>
      <protection locked="0" hidden="0"/>
    </xf>
    <xf numFmtId="167" fontId="49" fillId="6" borderId="80" applyAlignment="1" applyProtection="1" pivotButton="0" quotePrefix="0" xfId="0">
      <alignment horizontal="center" vertical="bottom"/>
      <protection locked="0" hidden="0"/>
    </xf>
    <xf numFmtId="1" fontId="54" fillId="2" borderId="73" applyAlignment="1" applyProtection="1" pivotButton="0" quotePrefix="0" xfId="0">
      <alignment horizontal="center" vertical="center"/>
      <protection locked="0" hidden="0"/>
    </xf>
    <xf numFmtId="0" fontId="55" fillId="2" borderId="84" applyAlignment="1" applyProtection="1" pivotButton="0" quotePrefix="0" xfId="0">
      <alignment horizontal="center" vertical="center"/>
      <protection locked="0" hidden="0"/>
    </xf>
    <xf numFmtId="0" fontId="55" fillId="2" borderId="85" applyAlignment="1" applyProtection="1" pivotButton="0" quotePrefix="0" xfId="0">
      <alignment horizontal="center" vertical="center"/>
      <protection locked="0" hidden="0"/>
    </xf>
    <xf numFmtId="0" fontId="55" fillId="2" borderId="65" applyAlignment="1" applyProtection="1" pivotButton="0" quotePrefix="0" xfId="0">
      <alignment horizontal="center" vertical="center"/>
      <protection locked="0" hidden="0"/>
    </xf>
    <xf numFmtId="0" fontId="55" fillId="2" borderId="86" applyAlignment="1" applyProtection="1" pivotButton="0" quotePrefix="0" xfId="0">
      <alignment horizontal="center" vertical="center"/>
      <protection locked="0" hidden="0"/>
    </xf>
    <xf numFmtId="0" fontId="55" fillId="2" borderId="87" applyAlignment="1" applyProtection="1" pivotButton="0" quotePrefix="0" xfId="0">
      <alignment horizontal="center" vertical="center"/>
      <protection locked="0" hidden="0"/>
    </xf>
    <xf numFmtId="0" fontId="55" fillId="2" borderId="88" applyAlignment="1" applyProtection="1" pivotButton="0" quotePrefix="0" xfId="0">
      <alignment horizontal="center" vertical="center" wrapText="1"/>
      <protection locked="0" hidden="0"/>
    </xf>
    <xf numFmtId="0" fontId="55" fillId="2" borderId="89" applyAlignment="1" applyProtection="1" pivotButton="0" quotePrefix="0" xfId="0">
      <alignment horizontal="center" vertical="center" wrapText="1"/>
      <protection locked="0" hidden="0"/>
    </xf>
    <xf numFmtId="0" fontId="0" fillId="0" borderId="89" applyProtection="1" pivotButton="0" quotePrefix="0" xfId="0">
      <protection locked="0" hidden="0"/>
    </xf>
    <xf numFmtId="0" fontId="0" fillId="0" borderId="86" applyProtection="1" pivotButton="0" quotePrefix="0" xfId="0">
      <protection locked="0" hidden="0"/>
    </xf>
    <xf numFmtId="167" fontId="6" fillId="2" borderId="90" applyAlignment="1" pivotButton="0" quotePrefix="0" xfId="0">
      <alignment horizontal="center" vertical="bottom"/>
    </xf>
    <xf numFmtId="167" fontId="6" fillId="4" borderId="91" applyAlignment="1" pivotButton="0" quotePrefix="0" xfId="0">
      <alignment horizontal="center" vertical="bottom"/>
    </xf>
    <xf numFmtId="167" fontId="6" fillId="4" borderId="92" applyAlignment="1" applyProtection="1" pivotButton="0" quotePrefix="0" xfId="0">
      <alignment horizontal="center" vertical="bottom"/>
      <protection locked="0" hidden="0"/>
    </xf>
    <xf numFmtId="2" fontId="6" fillId="4" borderId="93" applyAlignment="1" pivotButton="0" quotePrefix="0" xfId="0">
      <alignment horizontal="center" vertical="bottom"/>
    </xf>
    <xf numFmtId="1" fontId="54" fillId="2" borderId="94" applyAlignment="1" applyProtection="1" pivotButton="0" quotePrefix="0" xfId="0">
      <alignment horizontal="center" vertical="bottom"/>
      <protection locked="0" hidden="0"/>
    </xf>
    <xf numFmtId="0" fontId="0" fillId="0" borderId="170" applyProtection="1" pivotButton="0" quotePrefix="0" xfId="0">
      <protection locked="0" hidden="0"/>
    </xf>
    <xf numFmtId="173" fontId="6" fillId="4" borderId="91" applyAlignment="1" pivotButton="0" quotePrefix="0" xfId="0">
      <alignment horizontal="center" vertical="bottom"/>
    </xf>
    <xf numFmtId="1" fontId="6" fillId="4" borderId="92" applyAlignment="1" applyProtection="1" pivotButton="0" quotePrefix="0" xfId="0">
      <alignment horizontal="center" vertical="bottom"/>
      <protection locked="0" hidden="0"/>
    </xf>
    <xf numFmtId="0" fontId="0" fillId="0" borderId="172" applyProtection="1" pivotButton="0" quotePrefix="0" xfId="0">
      <protection locked="0" hidden="0"/>
    </xf>
    <xf numFmtId="0" fontId="0" fillId="0" borderId="173" applyProtection="1" pivotButton="0" quotePrefix="0" xfId="0">
      <protection locked="0" hidden="0"/>
    </xf>
    <xf numFmtId="167" fontId="6" fillId="2" borderId="95" applyAlignment="1" pivotButton="0" quotePrefix="0" xfId="0">
      <alignment horizontal="center" vertical="bottom"/>
    </xf>
    <xf numFmtId="167" fontId="6" fillId="4" borderId="96" applyAlignment="1" applyProtection="1" pivotButton="0" quotePrefix="0" xfId="0">
      <alignment horizontal="center" vertical="bottom"/>
      <protection locked="0" hidden="0"/>
    </xf>
    <xf numFmtId="167" fontId="6" fillId="4" borderId="97" applyAlignment="1" applyProtection="1" pivotButton="0" quotePrefix="0" xfId="0">
      <alignment horizontal="center" vertical="bottom"/>
      <protection locked="0" hidden="0"/>
    </xf>
    <xf numFmtId="2" fontId="6" fillId="4" borderId="98" applyAlignment="1" applyProtection="1" pivotButton="0" quotePrefix="0" xfId="0">
      <alignment horizontal="center" vertical="bottom"/>
      <protection locked="0" hidden="0"/>
    </xf>
    <xf numFmtId="0" fontId="6" fillId="2" borderId="99" applyAlignment="1" applyProtection="1" pivotButton="0" quotePrefix="0" xfId="0">
      <alignment horizontal="center" vertical="bottom"/>
      <protection locked="0" hidden="0"/>
    </xf>
    <xf numFmtId="1" fontId="6" fillId="2" borderId="100" applyAlignment="1" applyProtection="1" pivotButton="0" quotePrefix="0" xfId="0">
      <alignment horizontal="center" vertical="bottom"/>
      <protection locked="0" hidden="0"/>
    </xf>
    <xf numFmtId="167" fontId="6" fillId="2" borderId="101" applyAlignment="1" pivotButton="0" quotePrefix="0" xfId="0">
      <alignment horizontal="center" vertical="bottom"/>
    </xf>
    <xf numFmtId="1" fontId="6" fillId="2" borderId="102" applyAlignment="1" pivotButton="0" quotePrefix="0" xfId="0">
      <alignment horizontal="center" vertical="bottom"/>
    </xf>
    <xf numFmtId="173" fontId="6" fillId="4" borderId="96" applyAlignment="1" applyProtection="1" pivotButton="0" quotePrefix="0" xfId="0">
      <alignment horizontal="center" vertical="bottom"/>
      <protection locked="0" hidden="0"/>
    </xf>
    <xf numFmtId="1" fontId="6" fillId="4" borderId="97" applyAlignment="1" applyProtection="1" pivotButton="0" quotePrefix="0" xfId="0">
      <alignment horizontal="center" vertical="bottom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56" applyProtection="1" pivotButton="0" quotePrefix="0" xfId="0">
      <protection locked="0" hidden="0"/>
    </xf>
    <xf numFmtId="0" fontId="6" fillId="2" borderId="103" applyAlignment="1" applyProtection="1" pivotButton="0" quotePrefix="0" xfId="0">
      <alignment horizontal="center" vertical="bottom"/>
      <protection locked="0" hidden="0"/>
    </xf>
    <xf numFmtId="1" fontId="6" fillId="2" borderId="104" applyAlignment="1" applyProtection="1" pivotButton="0" quotePrefix="0" xfId="0">
      <alignment horizontal="center" vertical="bottom"/>
      <protection locked="0" hidden="0"/>
    </xf>
    <xf numFmtId="167" fontId="6" fillId="2" borderId="105" applyAlignment="1" pivotButton="0" quotePrefix="0" xfId="0">
      <alignment horizontal="center" vertical="bottom"/>
    </xf>
    <xf numFmtId="1" fontId="6" fillId="2" borderId="106" applyAlignment="1" pivotButton="0" quotePrefix="0" xfId="0">
      <alignment horizontal="center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general" vertical="bottom"/>
      <protection locked="0" hidden="0"/>
    </xf>
    <xf numFmtId="167" fontId="50" fillId="0" borderId="0" applyAlignment="1" applyProtection="1" pivotButton="0" quotePrefix="0" xfId="0">
      <alignment horizontal="right" vertical="bottom"/>
      <protection locked="0" hidden="0"/>
    </xf>
    <xf numFmtId="0" fontId="56" fillId="0" borderId="0" applyAlignment="1" pivotButton="0" quotePrefix="0" xfId="0">
      <alignment horizontal="general" vertical="bottom"/>
    </xf>
    <xf numFmtId="0" fontId="8" fillId="0" borderId="73" applyAlignment="1" pivotButton="0" quotePrefix="0" xfId="0">
      <alignment horizontal="center" vertical="bottom"/>
    </xf>
    <xf numFmtId="0" fontId="6" fillId="2" borderId="0" applyAlignment="1" applyProtection="1" pivotButton="0" quotePrefix="0" xfId="0">
      <alignment horizontal="general" vertical="bottom"/>
      <protection locked="0" hidden="0"/>
    </xf>
    <xf numFmtId="174" fontId="6" fillId="2" borderId="0" applyAlignment="1" applyProtection="1" pivotButton="0" quotePrefix="0" xfId="0">
      <alignment horizontal="general" vertical="bottom"/>
      <protection locked="0" hidden="0"/>
    </xf>
    <xf numFmtId="0" fontId="8" fillId="0" borderId="0" applyAlignment="1" pivotButton="0" quotePrefix="0" xfId="0">
      <alignment horizontal="center" vertical="bottom"/>
    </xf>
    <xf numFmtId="0" fontId="17" fillId="2" borderId="0" applyAlignment="1" applyProtection="1" pivotButton="0" quotePrefix="0" xfId="0">
      <alignment horizontal="general" vertical="bottom"/>
      <protection locked="0" hidden="0"/>
    </xf>
    <xf numFmtId="0" fontId="21" fillId="2" borderId="0" applyAlignment="1" applyProtection="1" pivotButton="0" quotePrefix="0" xfId="0">
      <alignment horizontal="general" vertical="bottom"/>
      <protection locked="0" hidden="0"/>
    </xf>
    <xf numFmtId="0" fontId="4" fillId="2" borderId="0" applyAlignment="1" applyProtection="1" pivotButton="0" quotePrefix="0" xfId="0">
      <alignment horizontal="center" vertical="bottom"/>
      <protection locked="0" hidden="0"/>
    </xf>
    <xf numFmtId="0" fontId="27" fillId="2" borderId="0" applyAlignment="1" applyProtection="1" pivotButton="0" quotePrefix="0" xfId="0">
      <alignment horizontal="center" vertical="bottom"/>
      <protection locked="0" hidden="0"/>
    </xf>
    <xf numFmtId="1" fontId="27" fillId="2" borderId="0" applyAlignment="1" applyProtection="1" pivotButton="0" quotePrefix="0" xfId="0">
      <alignment horizontal="center" vertical="bottom"/>
      <protection locked="0" hidden="0"/>
    </xf>
    <xf numFmtId="0" fontId="21" fillId="2" borderId="0" applyAlignment="1" applyProtection="1" pivotButton="0" quotePrefix="0" xfId="0">
      <alignment horizontal="center" vertical="bottom"/>
      <protection locked="0" hidden="0"/>
    </xf>
    <xf numFmtId="0" fontId="57" fillId="2" borderId="0" applyAlignment="1" applyProtection="1" pivotButton="0" quotePrefix="0" xfId="0">
      <alignment horizontal="general" vertical="bottom"/>
      <protection locked="0" hidden="0"/>
    </xf>
    <xf numFmtId="0" fontId="6" fillId="2" borderId="107" applyAlignment="1" applyProtection="1" pivotButton="0" quotePrefix="0" xfId="0">
      <alignment horizontal="center" vertical="bottom"/>
      <protection locked="0" hidden="0"/>
    </xf>
    <xf numFmtId="1" fontId="6" fillId="2" borderId="108" applyAlignment="1" applyProtection="1" pivotButton="0" quotePrefix="0" xfId="0">
      <alignment horizontal="center" vertical="bottom"/>
      <protection locked="0" hidden="0"/>
    </xf>
    <xf numFmtId="0" fontId="56" fillId="12" borderId="109" applyAlignment="1" pivotButton="0" quotePrefix="0" xfId="0">
      <alignment horizontal="center" vertical="bottom"/>
    </xf>
    <xf numFmtId="0" fontId="0" fillId="0" borderId="89" pivotButton="0" quotePrefix="0" xfId="0"/>
    <xf numFmtId="0" fontId="56" fillId="12" borderId="71" applyAlignment="1" applyProtection="1" pivotButton="0" quotePrefix="0" xfId="0">
      <alignment horizontal="center" vertical="bottom"/>
      <protection locked="0" hidden="0"/>
    </xf>
    <xf numFmtId="0" fontId="8" fillId="13" borderId="71" applyAlignment="1" applyProtection="1" pivotButton="0" quotePrefix="0" xfId="0">
      <alignment horizontal="general" vertical="bottom"/>
      <protection locked="0" hidden="0"/>
    </xf>
    <xf numFmtId="0" fontId="8" fillId="13" borderId="109" applyAlignment="1" applyProtection="1" pivotButton="0" quotePrefix="0" xfId="0">
      <alignment horizontal="general" vertical="bottom"/>
      <protection locked="0" hidden="0"/>
    </xf>
    <xf numFmtId="0" fontId="8" fillId="13" borderId="70" applyAlignment="1" applyProtection="1" pivotButton="0" quotePrefix="0" xfId="0">
      <alignment horizontal="general" vertical="bottom"/>
      <protection locked="0" hidden="0"/>
    </xf>
    <xf numFmtId="0" fontId="8" fillId="13" borderId="110" applyAlignment="1" pivotButton="0" quotePrefix="0" xfId="0">
      <alignment horizontal="general" vertical="bottom"/>
    </xf>
    <xf numFmtId="0" fontId="58" fillId="14" borderId="111" applyAlignment="1" pivotButton="0" quotePrefix="0" xfId="0">
      <alignment horizontal="general" vertical="bottom"/>
    </xf>
    <xf numFmtId="0" fontId="8" fillId="0" borderId="110" applyAlignment="1" pivotButton="0" quotePrefix="0" xfId="0">
      <alignment horizontal="general" vertical="bottom"/>
    </xf>
    <xf numFmtId="0" fontId="8" fillId="13" borderId="112" applyAlignment="1" applyProtection="1" pivotButton="0" quotePrefix="0" xfId="0">
      <alignment horizontal="general" vertical="bottom"/>
      <protection locked="0" hidden="0"/>
    </xf>
    <xf numFmtId="0" fontId="58" fillId="14" borderId="113" applyAlignment="1" applyProtection="1" pivotButton="0" quotePrefix="0" xfId="0">
      <alignment horizontal="general" vertical="bottom"/>
      <protection locked="0" hidden="0"/>
    </xf>
    <xf numFmtId="0" fontId="8" fillId="2" borderId="114" applyAlignment="1" applyProtection="1" pivotButton="0" quotePrefix="0" xfId="0">
      <alignment horizontal="general" vertical="bottom"/>
      <protection locked="0" hidden="0"/>
    </xf>
    <xf numFmtId="0" fontId="8" fillId="13" borderId="115" applyAlignment="1" applyProtection="1" pivotButton="0" quotePrefix="0" xfId="0">
      <alignment horizontal="general" vertical="bottom"/>
      <protection locked="0" hidden="0"/>
    </xf>
    <xf numFmtId="0" fontId="58" fillId="14" borderId="116" applyAlignment="1" applyProtection="1" pivotButton="0" quotePrefix="0" xfId="0">
      <alignment horizontal="general" vertical="bottom"/>
      <protection locked="0" hidden="0"/>
    </xf>
    <xf numFmtId="0" fontId="8" fillId="13" borderId="117" applyAlignment="1" applyProtection="1" pivotButton="0" quotePrefix="0" xfId="0">
      <alignment horizontal="general" vertical="bottom"/>
      <protection locked="0" hidden="0"/>
    </xf>
    <xf numFmtId="0" fontId="58" fillId="14" borderId="118" applyAlignment="1" applyProtection="1" pivotButton="0" quotePrefix="0" xfId="0">
      <alignment horizontal="general" vertical="bottom"/>
      <protection locked="0" hidden="0"/>
    </xf>
    <xf numFmtId="0" fontId="8" fillId="2" borderId="110" applyAlignment="1" applyProtection="1" pivotButton="0" quotePrefix="0" xfId="0">
      <alignment horizontal="general" vertical="bottom"/>
      <protection locked="0" hidden="0"/>
    </xf>
    <xf numFmtId="0" fontId="8" fillId="13" borderId="119" applyAlignment="1" pivotButton="0" quotePrefix="0" xfId="0">
      <alignment horizontal="general" vertical="bottom"/>
    </xf>
    <xf numFmtId="0" fontId="58" fillId="14" borderId="120" applyAlignment="1" pivotButton="0" quotePrefix="0" xfId="0">
      <alignment horizontal="general" vertical="bottom"/>
    </xf>
    <xf numFmtId="0" fontId="8" fillId="0" borderId="119" applyAlignment="1" pivotButton="0" quotePrefix="0" xfId="0">
      <alignment horizontal="general" vertical="bottom"/>
    </xf>
    <xf numFmtId="0" fontId="8" fillId="2" borderId="61" applyAlignment="1" pivotButton="0" quotePrefix="0" xfId="0">
      <alignment horizontal="general" vertical="bottom"/>
    </xf>
    <xf numFmtId="0" fontId="8" fillId="2" borderId="75" applyAlignment="1" pivotButton="0" quotePrefix="0" xfId="0">
      <alignment horizontal="general" vertical="bottom"/>
    </xf>
    <xf numFmtId="0" fontId="56" fillId="13" borderId="73" applyAlignment="1" pivotButton="0" quotePrefix="0" xfId="0">
      <alignment horizontal="general" vertical="bottom"/>
    </xf>
    <xf numFmtId="167" fontId="59" fillId="10" borderId="111" applyAlignment="1" pivotButton="0" quotePrefix="0" xfId="0">
      <alignment horizontal="right" vertical="bottom" indent="1"/>
    </xf>
    <xf numFmtId="0" fontId="8" fillId="13" borderId="76" applyAlignment="1" applyProtection="1" pivotButton="0" quotePrefix="0" xfId="0">
      <alignment horizontal="general" vertical="bottom"/>
      <protection locked="0" hidden="0"/>
    </xf>
    <xf numFmtId="0" fontId="8" fillId="13" borderId="121" applyAlignment="1" applyProtection="1" pivotButton="0" quotePrefix="0" xfId="0">
      <alignment horizontal="general" vertical="bottom"/>
      <protection locked="0" hidden="0"/>
    </xf>
    <xf numFmtId="0" fontId="0" fillId="0" borderId="121" applyProtection="1" pivotButton="0" quotePrefix="0" xfId="0">
      <protection locked="0" hidden="0"/>
    </xf>
    <xf numFmtId="0" fontId="60" fillId="15" borderId="122" applyAlignment="1" applyProtection="1" pivotButton="0" quotePrefix="0" xfId="0">
      <alignment horizontal="general" vertical="bottom"/>
      <protection locked="0" hidden="0"/>
    </xf>
    <xf numFmtId="0" fontId="8" fillId="2" borderId="119" applyAlignment="1" applyProtection="1" pivotButton="0" quotePrefix="0" xfId="0">
      <alignment horizontal="general" vertical="bottom"/>
      <protection locked="0" hidden="0"/>
    </xf>
    <xf numFmtId="0" fontId="61" fillId="10" borderId="123" applyAlignment="1" applyProtection="1" pivotButton="0" quotePrefix="0" xfId="0">
      <alignment horizontal="general" vertical="bottom"/>
      <protection locked="0" hidden="0"/>
    </xf>
    <xf numFmtId="0" fontId="61" fillId="10" borderId="124" applyAlignment="1" pivotButton="0" quotePrefix="0" xfId="0">
      <alignment horizontal="general" vertical="bottom"/>
    </xf>
    <xf numFmtId="0" fontId="62" fillId="10" borderId="124" applyAlignment="1" pivotButton="0" quotePrefix="0" xfId="0">
      <alignment horizontal="general" vertical="bottom"/>
    </xf>
    <xf numFmtId="0" fontId="61" fillId="10" borderId="125" applyAlignment="1" applyProtection="1" pivotButton="0" quotePrefix="0" xfId="0">
      <alignment horizontal="general" vertical="bottom"/>
      <protection locked="0" hidden="0"/>
    </xf>
    <xf numFmtId="0" fontId="61" fillId="10" borderId="126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general" vertical="bottom"/>
      <protection locked="0" hidden="0"/>
    </xf>
    <xf numFmtId="0" fontId="8" fillId="2" borderId="89" applyAlignment="1" applyProtection="1" pivotButton="0" quotePrefix="0" xfId="0">
      <alignment horizontal="general" vertical="bottom"/>
      <protection locked="0" hidden="0"/>
    </xf>
    <xf numFmtId="0" fontId="56" fillId="13" borderId="109" applyAlignment="1" applyProtection="1" pivotButton="0" quotePrefix="0" xfId="0">
      <alignment horizontal="left" vertical="bottom"/>
      <protection locked="0" hidden="0"/>
    </xf>
    <xf numFmtId="0" fontId="56" fillId="13" borderId="89" applyAlignment="1" applyProtection="1" pivotButton="0" quotePrefix="0" xfId="0">
      <alignment horizontal="general" vertical="bottom"/>
      <protection locked="0" hidden="0"/>
    </xf>
    <xf numFmtId="0" fontId="56" fillId="13" borderId="127" applyAlignment="1" applyProtection="1" pivotButton="0" quotePrefix="0" xfId="0">
      <alignment horizontal="general" vertical="bottom"/>
      <protection locked="0" hidden="0"/>
    </xf>
    <xf numFmtId="0" fontId="59" fillId="10" borderId="128" applyAlignment="1" applyProtection="1" pivotButton="0" quotePrefix="0" xfId="0">
      <alignment horizontal="general" vertical="bottom"/>
      <protection locked="0" hidden="0"/>
    </xf>
    <xf numFmtId="0" fontId="8" fillId="2" borderId="129" applyAlignment="1" applyProtection="1" pivotButton="0" quotePrefix="0" xfId="0">
      <alignment horizontal="general" vertical="bottom"/>
      <protection locked="0" hidden="0"/>
    </xf>
    <xf numFmtId="0" fontId="56" fillId="13" borderId="130" applyAlignment="1" applyProtection="1" pivotButton="0" quotePrefix="0" xfId="0">
      <alignment horizontal="general" vertical="bottom"/>
      <protection locked="0" hidden="0"/>
    </xf>
    <xf numFmtId="0" fontId="0" fillId="0" borderId="175" applyProtection="1" pivotButton="0" quotePrefix="0" xfId="0">
      <protection locked="0" hidden="0"/>
    </xf>
    <xf numFmtId="0" fontId="0" fillId="0" borderId="176" applyProtection="1" pivotButton="0" quotePrefix="0" xfId="0">
      <protection locked="0" hidden="0"/>
    </xf>
    <xf numFmtId="0" fontId="58" fillId="14" borderId="131" applyAlignment="1" applyProtection="1" pivotButton="0" quotePrefix="0" xfId="0">
      <alignment horizontal="general" vertical="bottom"/>
      <protection locked="0" hidden="0"/>
    </xf>
    <xf numFmtId="0" fontId="8" fillId="2" borderId="132" applyAlignment="1" applyProtection="1" pivotButton="0" quotePrefix="0" xfId="0">
      <alignment horizontal="general" vertical="bottom"/>
      <protection locked="0" hidden="0"/>
    </xf>
    <xf numFmtId="0" fontId="56" fillId="13" borderId="133" applyAlignment="1" applyProtection="1" pivotButton="0" quotePrefix="0" xfId="0">
      <alignment horizontal="general" vertical="bottom"/>
      <protection locked="0" hidden="0"/>
    </xf>
    <xf numFmtId="0" fontId="58" fillId="14" borderId="1" applyAlignment="1" applyProtection="1" pivotButton="0" quotePrefix="0" xfId="0">
      <alignment horizontal="general" vertical="bottom"/>
      <protection locked="0" hidden="0"/>
    </xf>
    <xf numFmtId="0" fontId="8" fillId="2" borderId="134" applyAlignment="1" applyProtection="1" pivotButton="0" quotePrefix="0" xfId="0">
      <alignment horizontal="general" vertical="bottom"/>
      <protection locked="0" hidden="0"/>
    </xf>
    <xf numFmtId="0" fontId="59" fillId="10" borderId="1" applyAlignment="1" applyProtection="1" pivotButton="0" quotePrefix="0" xfId="0">
      <alignment horizontal="general" vertical="bottom"/>
      <protection locked="0" hidden="0"/>
    </xf>
    <xf numFmtId="1" fontId="59" fillId="10" borderId="1" applyAlignment="1" applyProtection="1" pivotButton="0" quotePrefix="0" xfId="0">
      <alignment horizontal="general" vertical="bottom"/>
      <protection locked="0" hidden="0"/>
    </xf>
    <xf numFmtId="0" fontId="56" fillId="13" borderId="135" applyAlignment="1" applyProtection="1" pivotButton="0" quotePrefix="0" xfId="0">
      <alignment horizontal="left" vertical="bottom"/>
      <protection locked="0" hidden="0"/>
    </xf>
    <xf numFmtId="0" fontId="0" fillId="0" borderId="177" applyProtection="1" pivotButton="0" quotePrefix="0" xfId="0">
      <protection locked="0" hidden="0"/>
    </xf>
    <xf numFmtId="0" fontId="0" fillId="0" borderId="178" applyProtection="1" pivotButton="0" quotePrefix="0" xfId="0">
      <protection locked="0" hidden="0"/>
    </xf>
    <xf numFmtId="172" fontId="59" fillId="10" borderId="136" applyAlignment="1" applyProtection="1" pivotButton="0" quotePrefix="0" xfId="0">
      <alignment horizontal="center" vertical="bottom"/>
      <protection locked="0" hidden="0"/>
    </xf>
    <xf numFmtId="164" fontId="4" fillId="0" borderId="0" applyAlignment="1" applyProtection="1" pivotButton="0" quotePrefix="0" xfId="28">
      <alignment horizontal="general" vertical="bottom"/>
      <protection locked="0" hidden="0"/>
    </xf>
    <xf numFmtId="0" fontId="11" fillId="3" borderId="3" applyAlignment="1" applyProtection="1" pivotButton="0" quotePrefix="0" xfId="0">
      <alignment horizontal="center" vertical="center"/>
      <protection locked="0" hidden="0"/>
    </xf>
    <xf numFmtId="1" fontId="20" fillId="2" borderId="0" applyAlignment="1" applyProtection="1" pivotButton="0" quotePrefix="0" xfId="0">
      <alignment horizontal="general" vertical="bottom"/>
      <protection locked="0" hidden="0"/>
    </xf>
    <xf numFmtId="0" fontId="13" fillId="2" borderId="14" applyAlignment="1" applyProtection="1" pivotButton="0" quotePrefix="0" xfId="0">
      <alignment horizontal="left" vertical="center"/>
      <protection locked="0" hidden="0"/>
    </xf>
    <xf numFmtId="0" fontId="41" fillId="4" borderId="2" applyAlignment="1" pivotButton="0" quotePrefix="0" xfId="0">
      <alignment horizontal="center" vertical="center"/>
    </xf>
    <xf numFmtId="0" fontId="13" fillId="2" borderId="13" applyAlignment="1" applyProtection="1" pivotButton="0" quotePrefix="0" xfId="0">
      <alignment horizontal="left" vertical="center"/>
      <protection locked="0" hidden="0"/>
    </xf>
    <xf numFmtId="0" fontId="4" fillId="4" borderId="14" applyAlignment="1" pivotButton="0" quotePrefix="0" xfId="0">
      <alignment horizontal="center" vertical="center"/>
    </xf>
    <xf numFmtId="0" fontId="4" fillId="2" borderId="5" applyAlignment="1" applyProtection="1" pivotButton="0" quotePrefix="0" xfId="0">
      <alignment horizontal="general" vertical="bottom"/>
      <protection locked="0" hidden="0"/>
    </xf>
    <xf numFmtId="0" fontId="4" fillId="2" borderId="6" applyAlignment="1" applyProtection="1" pivotButton="0" quotePrefix="0" xfId="0">
      <alignment horizontal="general" vertical="bottom"/>
      <protection locked="0" hidden="0"/>
    </xf>
    <xf numFmtId="0" fontId="4" fillId="2" borderId="7" applyAlignment="1" applyProtection="1" pivotButton="0" quotePrefix="0" xfId="0">
      <alignment horizontal="general" vertical="bottom"/>
      <protection locked="0" hidden="0"/>
    </xf>
    <xf numFmtId="0" fontId="4" fillId="2" borderId="9" applyAlignment="1" applyProtection="1" pivotButton="0" quotePrefix="0" xfId="0">
      <alignment horizontal="general" vertical="bottom"/>
      <protection locked="0" hidden="0"/>
    </xf>
    <xf numFmtId="0" fontId="4" fillId="2" borderId="10" applyAlignment="1" applyProtection="1" pivotButton="0" quotePrefix="0" xfId="0">
      <alignment horizontal="general" vertical="bottom"/>
      <protection locked="0" hidden="0"/>
    </xf>
    <xf numFmtId="0" fontId="63" fillId="2" borderId="0" applyAlignment="1" applyProtection="1" pivotButton="0" quotePrefix="0" xfId="0">
      <alignment horizontal="general" vertical="bottom"/>
      <protection locked="0" hidden="0"/>
    </xf>
    <xf numFmtId="0" fontId="14" fillId="5" borderId="3" applyAlignment="1" applyProtection="1" pivotButton="0" quotePrefix="0" xfId="0">
      <alignment horizontal="center" vertical="center"/>
      <protection locked="0" hidden="0"/>
    </xf>
    <xf numFmtId="0" fontId="14" fillId="5" borderId="1" applyAlignment="1" applyProtection="1" pivotButton="0" quotePrefix="0" xfId="0">
      <alignment horizontal="center" vertical="bottom"/>
      <protection locked="0" hidden="0"/>
    </xf>
    <xf numFmtId="0" fontId="4" fillId="0" borderId="0" applyAlignment="1" applyProtection="1" pivotButton="0" quotePrefix="0" xfId="0">
      <alignment horizontal="left" vertical="bottom"/>
      <protection locked="0" hidden="0"/>
    </xf>
    <xf numFmtId="0" fontId="13" fillId="2" borderId="1" applyAlignment="1" applyProtection="1" pivotButton="0" quotePrefix="0" xfId="0">
      <alignment horizontal="general" vertical="bottom"/>
      <protection locked="0" hidden="0"/>
    </xf>
    <xf numFmtId="0" fontId="13" fillId="2" borderId="3" applyAlignment="1" applyProtection="1" pivotButton="0" quotePrefix="0" xfId="0">
      <alignment horizontal="general" vertical="bottom"/>
      <protection locked="0" hidden="0"/>
    </xf>
    <xf numFmtId="0" fontId="13" fillId="2" borderId="1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bottom"/>
      <protection locked="0" hidden="0"/>
    </xf>
    <xf numFmtId="0" fontId="13" fillId="2" borderId="1" applyAlignment="1" applyProtection="1" pivotButton="0" quotePrefix="0" xfId="0">
      <alignment horizontal="left" vertical="bottom"/>
      <protection locked="0" hidden="0"/>
    </xf>
    <xf numFmtId="0" fontId="13" fillId="2" borderId="3" applyAlignment="1" applyProtection="1" pivotButton="0" quotePrefix="0" xfId="0">
      <alignment horizontal="center" vertical="bottom"/>
      <protection locked="0" hidden="0"/>
    </xf>
    <xf numFmtId="0" fontId="22" fillId="0" borderId="1" applyAlignment="1" pivotButton="0" quotePrefix="0" xfId="0">
      <alignment horizontal="center" vertical="center"/>
    </xf>
    <xf numFmtId="166" fontId="4" fillId="2" borderId="0" applyAlignment="1" applyProtection="1" pivotButton="0" quotePrefix="0" xfId="0">
      <alignment horizontal="general" vertical="center"/>
      <protection locked="0" hidden="0"/>
    </xf>
    <xf numFmtId="0" fontId="4" fillId="2" borderId="0" applyAlignment="1" applyProtection="1" pivotButton="0" quotePrefix="0" xfId="0">
      <alignment horizontal="general" vertical="center"/>
      <protection locked="0" hidden="0"/>
    </xf>
    <xf numFmtId="0" fontId="13" fillId="2" borderId="12" applyAlignment="1" applyProtection="1" pivotButton="0" quotePrefix="0" xfId="0">
      <alignment horizontal="left" vertical="bottom"/>
      <protection locked="0" hidden="0"/>
    </xf>
    <xf numFmtId="0" fontId="13" fillId="2" borderId="9" applyAlignment="1" applyProtection="1" pivotButton="0" quotePrefix="0" xfId="0">
      <alignment horizontal="general" vertical="bottom"/>
      <protection locked="0" hidden="0"/>
    </xf>
    <xf numFmtId="167" fontId="17" fillId="2" borderId="10" applyAlignment="1" pivotButton="0" quotePrefix="0" xfId="0">
      <alignment horizontal="center" vertical="center"/>
    </xf>
    <xf numFmtId="0" fontId="13" fillId="2" borderId="12" applyAlignment="1" applyProtection="1" pivotButton="0" quotePrefix="0" xfId="0">
      <alignment horizontal="left" vertical="center"/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167" fontId="13" fillId="2" borderId="0" applyAlignment="1" pivotButton="0" quotePrefix="0" xfId="0">
      <alignment horizontal="center" vertical="bottom"/>
    </xf>
    <xf numFmtId="0" fontId="13" fillId="2" borderId="8" applyAlignment="1" applyProtection="1" pivotButton="0" quotePrefix="0" xfId="0">
      <alignment horizontal="left" vertical="bottom"/>
      <protection locked="0" hidden="0"/>
    </xf>
    <xf numFmtId="0" fontId="17" fillId="2" borderId="10" applyAlignment="1" pivotButton="0" quotePrefix="0" xfId="0">
      <alignment horizontal="center" vertical="center"/>
    </xf>
    <xf numFmtId="0" fontId="13" fillId="2" borderId="8" applyAlignment="1" applyProtection="1" pivotButton="0" quotePrefix="0" xfId="0">
      <alignment horizontal="left" vertical="center"/>
      <protection locked="0" hidden="0"/>
    </xf>
    <xf numFmtId="0" fontId="13" fillId="2" borderId="2" applyAlignment="1" applyProtection="1" pivotButton="0" quotePrefix="0" xfId="0">
      <alignment horizontal="left" vertical="bottom"/>
      <protection locked="0" hidden="0"/>
    </xf>
    <xf numFmtId="0" fontId="18" fillId="3" borderId="2" applyAlignment="1" applyProtection="1" pivotButton="0" quotePrefix="0" xfId="0">
      <alignment horizontal="center" vertical="center"/>
      <protection locked="0" hidden="0"/>
    </xf>
    <xf numFmtId="0" fontId="17" fillId="2" borderId="10" applyAlignment="1" applyProtection="1" pivotButton="0" quotePrefix="0" xfId="0">
      <alignment horizontal="center" vertical="center"/>
      <protection locked="0" hidden="0"/>
    </xf>
    <xf numFmtId="0" fontId="18" fillId="3" borderId="8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bottom"/>
      <protection locked="0" hidden="0"/>
    </xf>
    <xf numFmtId="0" fontId="41" fillId="2" borderId="0" applyAlignment="1" applyProtection="1" pivotButton="0" quotePrefix="0" xfId="0">
      <alignment horizontal="general" vertical="center"/>
      <protection locked="0" hidden="0"/>
    </xf>
    <xf numFmtId="0" fontId="64" fillId="2" borderId="3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center" vertical="center"/>
      <protection locked="0" hidden="0"/>
    </xf>
    <xf numFmtId="20" fontId="13" fillId="2" borderId="2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center" vertical="center"/>
      <protection locked="0" hidden="0"/>
    </xf>
    <xf numFmtId="171" fontId="13" fillId="4" borderId="12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center" vertical="center"/>
      <protection locked="0" hidden="0"/>
    </xf>
    <xf numFmtId="49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29" applyAlignment="1" pivotButton="0" quotePrefix="0" xfId="0">
      <alignment horizontal="center" vertical="bottom"/>
    </xf>
    <xf numFmtId="0" fontId="13" fillId="2" borderId="1" applyAlignment="1" applyProtection="1" pivotButton="0" quotePrefix="0" xfId="0">
      <alignment horizontal="left" vertical="center"/>
      <protection locked="0" hidden="0"/>
    </xf>
    <xf numFmtId="175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1" applyAlignment="1" applyProtection="1" pivotButton="0" quotePrefix="0" xfId="0">
      <alignment horizontal="general" vertical="center"/>
      <protection locked="0" hidden="0"/>
    </xf>
    <xf numFmtId="175" fontId="13" fillId="4" borderId="1" applyAlignment="1" pivotButton="0" quotePrefix="0" xfId="0">
      <alignment horizontal="center" vertical="center"/>
    </xf>
    <xf numFmtId="0" fontId="27" fillId="4" borderId="2" applyAlignment="1" applyProtection="1" pivotButton="0" quotePrefix="0" xfId="0">
      <alignment horizontal="center" vertical="bottom"/>
      <protection locked="0" hidden="0"/>
    </xf>
    <xf numFmtId="0" fontId="13" fillId="4" borderId="2" applyAlignment="1" applyProtection="1" pivotButton="0" quotePrefix="0" xfId="0">
      <alignment horizontal="center" vertical="bottom"/>
      <protection locked="0" hidden="0"/>
    </xf>
    <xf numFmtId="0" fontId="13" fillId="2" borderId="2" applyAlignment="1" applyProtection="1" pivotButton="0" quotePrefix="0" xfId="0">
      <alignment horizontal="center" vertical="bottom"/>
      <protection locked="0" hidden="0"/>
    </xf>
    <xf numFmtId="2" fontId="27" fillId="2" borderId="0" applyAlignment="1" applyProtection="1" pivotButton="0" quotePrefix="0" xfId="0">
      <alignment horizontal="center" vertical="bottom"/>
      <protection locked="0" hidden="0"/>
    </xf>
    <xf numFmtId="0" fontId="15" fillId="2" borderId="1" applyAlignment="1" applyProtection="1" pivotButton="0" quotePrefix="0" xfId="0">
      <alignment horizontal="center" vertical="bottom"/>
      <protection locked="0" hidden="0"/>
    </xf>
    <xf numFmtId="0" fontId="13" fillId="0" borderId="1" applyAlignment="1" applyProtection="1" pivotButton="0" quotePrefix="0" xfId="0">
      <alignment horizontal="left" vertical="top" wrapText="1"/>
      <protection locked="0" hidden="0"/>
    </xf>
    <xf numFmtId="1" fontId="27" fillId="2" borderId="0" applyAlignment="1" applyProtection="1" pivotButton="0" quotePrefix="0" xfId="0">
      <alignment horizontal="general" vertical="bottom"/>
      <protection locked="0" hidden="0"/>
    </xf>
    <xf numFmtId="0" fontId="13" fillId="4" borderId="137" applyAlignment="1" applyProtection="1" pivotButton="0" quotePrefix="0" xfId="0">
      <alignment horizontal="center" vertical="center"/>
      <protection locked="0" hidden="0"/>
    </xf>
    <xf numFmtId="0" fontId="0" fillId="0" borderId="137" applyProtection="1" pivotButton="0" quotePrefix="0" xfId="0">
      <protection locked="0" hidden="0"/>
    </xf>
    <xf numFmtId="0" fontId="13" fillId="2" borderId="57" applyAlignment="1" applyProtection="1" pivotButton="0" quotePrefix="0" xfId="0">
      <alignment horizontal="general" vertical="center"/>
      <protection locked="0" hidden="0"/>
    </xf>
    <xf numFmtId="0" fontId="13" fillId="2" borderId="55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general" vertical="bottom"/>
      <protection locked="0" hidden="0"/>
    </xf>
    <xf numFmtId="0" fontId="13" fillId="4" borderId="1" applyAlignment="1" applyProtection="1" pivotButton="0" quotePrefix="0" xfId="0">
      <alignment horizontal="center" vertical="bottom"/>
      <protection locked="0" hidden="0"/>
    </xf>
    <xf numFmtId="0" fontId="13" fillId="4" borderId="15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13" fillId="4" borderId="15" applyAlignment="1" applyProtection="1" pivotButton="0" quotePrefix="0" xfId="0">
      <alignment horizontal="center" vertical="bottom"/>
      <protection locked="0" hidden="0"/>
    </xf>
    <xf numFmtId="49" fontId="13" fillId="0" borderId="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general" vertical="center"/>
      <protection locked="0" hidden="0"/>
    </xf>
    <xf numFmtId="0" fontId="27" fillId="2" borderId="0" applyAlignment="1" applyProtection="1" pivotButton="0" quotePrefix="0" xfId="0">
      <alignment horizontal="center" vertical="center"/>
      <protection locked="0" hidden="0"/>
    </xf>
    <xf numFmtId="0" fontId="13" fillId="2" borderId="8" applyAlignment="1" applyProtection="1" pivotButton="0" quotePrefix="0" xfId="0">
      <alignment horizontal="center" vertical="bottom"/>
      <protection locked="0" hidden="0"/>
    </xf>
    <xf numFmtId="0" fontId="13" fillId="0" borderId="15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general" vertical="center"/>
      <protection locked="0" hidden="0"/>
    </xf>
    <xf numFmtId="0" fontId="13" fillId="2" borderId="9" applyAlignment="1" applyProtection="1" pivotButton="0" quotePrefix="0" xfId="0">
      <alignment horizontal="general" vertical="center"/>
      <protection locked="0" hidden="0"/>
    </xf>
    <xf numFmtId="0" fontId="13" fillId="0" borderId="13" applyAlignment="1" applyProtection="1" pivotButton="0" quotePrefix="0" xfId="0">
      <alignment horizontal="center" vertical="center"/>
      <protection locked="0" hidden="0"/>
    </xf>
    <xf numFmtId="0" fontId="13" fillId="2" borderId="2" applyAlignment="1" applyProtection="1" pivotButton="0" quotePrefix="0" xfId="0">
      <alignment horizontal="general" vertical="center"/>
      <protection locked="0" hidden="0"/>
    </xf>
    <xf numFmtId="0" fontId="13" fillId="2" borderId="14" applyAlignment="1" applyProtection="1" pivotButton="0" quotePrefix="0" xfId="0">
      <alignment horizontal="general" vertical="center"/>
      <protection locked="0" hidden="0"/>
    </xf>
    <xf numFmtId="0" fontId="13" fillId="4" borderId="1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bottom"/>
      <protection locked="0" hidden="0"/>
    </xf>
    <xf numFmtId="0" fontId="13" fillId="4" borderId="11" applyAlignment="1" applyProtection="1" pivotButton="0" quotePrefix="0" xfId="0">
      <alignment horizontal="center" vertical="center"/>
      <protection locked="0" hidden="0"/>
    </xf>
    <xf numFmtId="0" fontId="13" fillId="0" borderId="1" applyAlignment="1" applyProtection="1" pivotButton="0" quotePrefix="0" xfId="0">
      <alignment horizontal="left" vertical="bottom"/>
      <protection locked="0" hidden="0"/>
    </xf>
    <xf numFmtId="0" fontId="13" fillId="0" borderId="1" applyAlignment="1" applyProtection="1" pivotButton="0" quotePrefix="0" xfId="0">
      <alignment horizontal="general" vertical="bottom"/>
      <protection locked="0" hidden="0"/>
    </xf>
    <xf numFmtId="0" fontId="13" fillId="2" borderId="1" applyAlignment="1" applyProtection="1" pivotButton="0" quotePrefix="0" xfId="0">
      <alignment horizontal="center" vertical="top"/>
      <protection locked="0" hidden="0"/>
    </xf>
    <xf numFmtId="0" fontId="13" fillId="4" borderId="1" applyAlignment="1" applyProtection="1" pivotButton="0" quotePrefix="0" xfId="0">
      <alignment horizontal="center" vertical="top"/>
      <protection locked="0" hidden="0"/>
    </xf>
    <xf numFmtId="0" fontId="13" fillId="2" borderId="1" applyAlignment="1" applyProtection="1" pivotButton="0" quotePrefix="0" xfId="0">
      <alignment horizontal="center" vertical="center" wrapText="1"/>
      <protection locked="0" hidden="0"/>
    </xf>
    <xf numFmtId="0" fontId="13" fillId="2" borderId="1" applyAlignment="1" applyProtection="1" pivotButton="0" quotePrefix="0" xfId="0">
      <alignment horizontal="left" vertical="top" wrapText="1"/>
      <protection locked="0" hidden="0"/>
    </xf>
    <xf numFmtId="0" fontId="13" fillId="2" borderId="1" applyAlignment="1" applyProtection="1" pivotButton="0" quotePrefix="0" xfId="0">
      <alignment horizontal="general" vertical="top" wrapText="1"/>
      <protection locked="0" hidden="0"/>
    </xf>
    <xf numFmtId="0" fontId="13" fillId="2" borderId="29" applyAlignment="1" applyProtection="1" pivotButton="0" quotePrefix="0" xfId="0">
      <alignment horizontal="center" vertical="center"/>
      <protection locked="0" hidden="0"/>
    </xf>
    <xf numFmtId="0" fontId="13" fillId="2" borderId="29" applyAlignment="1" applyProtection="1" pivotButton="0" quotePrefix="0" xfId="0">
      <alignment horizontal="general" vertical="center"/>
      <protection locked="0" hidden="0"/>
    </xf>
    <xf numFmtId="0" fontId="65" fillId="16" borderId="0" applyAlignment="1" applyProtection="1" pivotButton="0" quotePrefix="0" xfId="0">
      <alignment horizontal="general" vertical="bottom"/>
      <protection locked="0" hidden="0"/>
    </xf>
    <xf numFmtId="0" fontId="66" fillId="16" borderId="0" applyAlignment="1" applyProtection="1" pivotButton="0" quotePrefix="0" xfId="0">
      <alignment horizontal="general" vertical="bottom"/>
      <protection locked="0" hidden="0"/>
    </xf>
    <xf numFmtId="0" fontId="13" fillId="2" borderId="12" applyAlignment="1" applyProtection="1" pivotButton="0" quotePrefix="0" xfId="0">
      <alignment horizontal="general" vertical="bottom"/>
      <protection locked="0" hidden="0"/>
    </xf>
    <xf numFmtId="0" fontId="13" fillId="4" borderId="25" applyAlignment="1" applyProtection="1" pivotButton="0" quotePrefix="0" xfId="0">
      <alignment horizontal="general" vertical="bottom"/>
      <protection locked="0" hidden="0"/>
    </xf>
    <xf numFmtId="0" fontId="13" fillId="4" borderId="27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bottom"/>
      <protection locked="0" hidden="0"/>
    </xf>
    <xf numFmtId="0" fontId="13" fillId="2" borderId="25" applyAlignment="1" applyProtection="1" pivotButton="0" quotePrefix="0" xfId="0">
      <alignment horizontal="general" vertical="center"/>
      <protection locked="0" hidden="0"/>
    </xf>
    <xf numFmtId="0" fontId="13" fillId="4" borderId="27" applyAlignment="1" applyProtection="1" pivotButton="0" quotePrefix="0" xfId="0">
      <alignment horizontal="center" vertical="center"/>
      <protection locked="0" hidden="0"/>
    </xf>
    <xf numFmtId="0" fontId="0" fillId="0" borderId="27" applyProtection="1" pivotButton="0" quotePrefix="0" xfId="0">
      <protection locked="0" hidden="0"/>
    </xf>
    <xf numFmtId="0" fontId="13" fillId="4" borderId="12" applyAlignment="1" applyProtection="1" pivotButton="0" quotePrefix="0" xfId="0">
      <alignment horizontal="center" vertical="bottom"/>
      <protection locked="0" hidden="0"/>
    </xf>
    <xf numFmtId="0" fontId="13" fillId="0" borderId="25" applyAlignment="1" applyProtection="1" pivotButton="0" quotePrefix="0" xfId="0">
      <alignment horizontal="left" vertical="center"/>
      <protection locked="0" hidden="0"/>
    </xf>
    <xf numFmtId="0" fontId="0" fillId="0" borderId="18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general" vertical="bottom"/>
      <protection locked="0" hidden="0"/>
    </xf>
    <xf numFmtId="0" fontId="13" fillId="4" borderId="15" applyAlignment="1" applyProtection="1" pivotButton="0" quotePrefix="0" xfId="0">
      <alignment horizontal="general" vertical="bottom"/>
      <protection locked="0" hidden="0"/>
    </xf>
    <xf numFmtId="0" fontId="13" fillId="4" borderId="16" applyAlignment="1" applyProtection="1" pivotButton="0" quotePrefix="0" xfId="0">
      <alignment horizontal="general" vertical="bottom"/>
      <protection locked="0" hidden="0"/>
    </xf>
    <xf numFmtId="0" fontId="13" fillId="2" borderId="15" applyAlignment="1" applyProtection="1" pivotButton="0" quotePrefix="0" xfId="0">
      <alignment horizontal="general" vertical="bottom"/>
      <protection locked="0" hidden="0"/>
    </xf>
    <xf numFmtId="0" fontId="13" fillId="4" borderId="19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13" fillId="4" borderId="39" applyAlignment="1" applyProtection="1" pivotButton="0" quotePrefix="0" xfId="0">
      <alignment horizontal="center" vertical="bottom"/>
      <protection locked="0" hidden="0"/>
    </xf>
    <xf numFmtId="0" fontId="0" fillId="0" borderId="38" applyProtection="1" pivotButton="0" quotePrefix="0" xfId="0">
      <protection locked="0" hidden="0"/>
    </xf>
    <xf numFmtId="0" fontId="13" fillId="0" borderId="15" applyAlignment="1" applyProtection="1" pivotButton="0" quotePrefix="0" xfId="0">
      <alignment horizontal="left" vertical="center"/>
      <protection locked="0" hidden="0"/>
    </xf>
    <xf numFmtId="0" fontId="21" fillId="4" borderId="0" applyAlignment="1" applyProtection="1" pivotButton="0" quotePrefix="0" xfId="0">
      <alignment horizontal="center" vertical="bottom"/>
      <protection locked="0" hidden="0"/>
    </xf>
    <xf numFmtId="0" fontId="13" fillId="4" borderId="16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general" vertical="bottom"/>
      <protection locked="0" hidden="0"/>
    </xf>
    <xf numFmtId="1" fontId="4" fillId="2" borderId="0" applyAlignment="1" applyProtection="1" pivotButton="0" quotePrefix="0" xfId="0">
      <alignment horizontal="center" vertical="bottom"/>
      <protection locked="0" hidden="0"/>
    </xf>
    <xf numFmtId="167" fontId="4" fillId="2" borderId="0" applyAlignment="1" applyProtection="1" pivotButton="0" quotePrefix="0" xfId="0">
      <alignment horizontal="center" vertical="bottom"/>
      <protection locked="0" hidden="0"/>
    </xf>
    <xf numFmtId="0" fontId="13" fillId="2" borderId="26" applyAlignment="1" applyProtection="1" pivotButton="0" quotePrefix="0" xfId="0">
      <alignment horizontal="general" vertical="bottom"/>
      <protection locked="0" hidden="0"/>
    </xf>
    <xf numFmtId="0" fontId="13" fillId="2" borderId="19" applyAlignment="1" applyProtection="1" pivotButton="0" quotePrefix="0" xfId="0">
      <alignment horizontal="general" vertical="bottom"/>
      <protection locked="0" hidden="0"/>
    </xf>
    <xf numFmtId="0" fontId="13" fillId="2" borderId="26" applyAlignment="1" applyProtection="1" pivotButton="0" quotePrefix="0" xfId="0">
      <alignment horizontal="general" vertical="center"/>
      <protection locked="0" hidden="0"/>
    </xf>
    <xf numFmtId="0" fontId="13" fillId="2" borderId="19" applyAlignment="1" applyProtection="1" pivotButton="0" quotePrefix="0" xfId="0">
      <alignment horizontal="center" vertical="center"/>
      <protection locked="0" hidden="0"/>
    </xf>
    <xf numFmtId="0" fontId="13" fillId="0" borderId="39" applyAlignment="1" applyProtection="1" pivotButton="0" quotePrefix="0" xfId="0">
      <alignment horizontal="center" vertical="bottom"/>
      <protection locked="0" hidden="0"/>
    </xf>
    <xf numFmtId="0" fontId="13" fillId="0" borderId="26" applyAlignment="1" applyProtection="1" pivotButton="0" quotePrefix="0" xfId="0">
      <alignment horizontal="left" vertical="center"/>
      <protection locked="0" hidden="0"/>
    </xf>
    <xf numFmtId="0" fontId="0" fillId="0" borderId="20" applyProtection="1" pivotButton="0" quotePrefix="0" xfId="0">
      <protection locked="0" hidden="0"/>
    </xf>
    <xf numFmtId="0" fontId="64" fillId="2" borderId="0" applyAlignment="1" applyProtection="1" pivotButton="0" quotePrefix="0" xfId="0">
      <alignment horizontal="center" vertical="bottom"/>
      <protection locked="0" hidden="0"/>
    </xf>
    <xf numFmtId="0" fontId="13" fillId="2" borderId="16" applyAlignment="1" applyProtection="1" pivotButton="0" quotePrefix="0" xfId="0">
      <alignment horizontal="general" vertical="bottom"/>
      <protection locked="0" hidden="0"/>
    </xf>
    <xf numFmtId="0" fontId="21" fillId="4" borderId="0" applyAlignment="1" applyProtection="1" pivotButton="0" quotePrefix="0" xfId="0">
      <alignment horizontal="general" vertical="bottom"/>
      <protection locked="0" hidden="0"/>
    </xf>
    <xf numFmtId="0" fontId="13" fillId="2" borderId="16" applyAlignment="1" applyProtection="1" pivotButton="0" quotePrefix="0" xfId="0">
      <alignment horizontal="center" vertical="center"/>
      <protection locked="0" hidden="0"/>
    </xf>
    <xf numFmtId="0" fontId="67" fillId="2" borderId="9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general" vertical="bottom"/>
      <protection locked="0" hidden="0"/>
    </xf>
    <xf numFmtId="0" fontId="67" fillId="2" borderId="0" applyAlignment="1" applyProtection="1" pivotButton="0" quotePrefix="0" xfId="0">
      <alignment horizontal="center" vertical="bottom"/>
      <protection locked="0" hidden="0"/>
    </xf>
    <xf numFmtId="0" fontId="13" fillId="2" borderId="57" applyAlignment="1" applyProtection="1" pivotButton="0" quotePrefix="0" xfId="0">
      <alignment horizontal="general" vertical="bottom"/>
      <protection locked="0" hidden="0"/>
    </xf>
    <xf numFmtId="0" fontId="13" fillId="2" borderId="8" applyAlignment="1" applyProtection="1" pivotButton="0" quotePrefix="0" xfId="0">
      <alignment horizontal="general" vertical="center"/>
      <protection locked="0" hidden="0"/>
    </xf>
    <xf numFmtId="0" fontId="13" fillId="2" borderId="15" applyAlignment="1" applyProtection="1" pivotButton="0" quotePrefix="0" xfId="0">
      <alignment horizontal="center" vertical="center"/>
      <protection locked="0" hidden="0"/>
    </xf>
    <xf numFmtId="0" fontId="13" fillId="2" borderId="137" applyAlignment="1" applyProtection="1" pivotButton="0" quotePrefix="0" xfId="0">
      <alignment horizontal="general" vertical="center"/>
      <protection locked="0" hidden="0"/>
    </xf>
    <xf numFmtId="0" fontId="13" fillId="2" borderId="137" applyAlignment="1" applyProtection="1" pivotButton="0" quotePrefix="0" xfId="0">
      <alignment horizontal="center" vertical="center"/>
      <protection locked="0" hidden="0"/>
    </xf>
    <xf numFmtId="0" fontId="13" fillId="0" borderId="57" applyAlignment="1" applyProtection="1" pivotButton="0" quotePrefix="0" xfId="0">
      <alignment horizontal="left" vertical="center"/>
      <protection locked="0" hidden="0"/>
    </xf>
    <xf numFmtId="0" fontId="0" fillId="0" borderId="56" applyProtection="1" pivotButton="0" quotePrefix="0" xfId="0">
      <protection locked="0" hidden="0"/>
    </xf>
    <xf numFmtId="0" fontId="4" fillId="0" borderId="0" applyAlignment="1" applyProtection="1" pivotButton="0" quotePrefix="0" xfId="0">
      <alignment horizontal="general" vertical="center"/>
      <protection locked="0" hidden="0"/>
    </xf>
    <xf numFmtId="0" fontId="13" fillId="0" borderId="1" applyAlignment="1" applyProtection="1" pivotButton="0" quotePrefix="0" xfId="0">
      <alignment horizontal="center" vertical="bottom"/>
      <protection locked="0" hidden="0"/>
    </xf>
    <xf numFmtId="0" fontId="14" fillId="5" borderId="1" applyAlignment="1" applyProtection="1" pivotButton="0" quotePrefix="0" xfId="0">
      <alignment horizontal="center" vertical="center"/>
      <protection locked="0" hidden="0"/>
    </xf>
    <xf numFmtId="0" fontId="13" fillId="0" borderId="9" applyAlignment="1" applyProtection="1" pivotButton="0" quotePrefix="0" xfId="0">
      <alignment horizontal="center" vertical="center"/>
      <protection locked="0" hidden="0"/>
    </xf>
    <xf numFmtId="0" fontId="13" fillId="2" borderId="0" applyAlignment="1" applyProtection="1" pivotButton="0" quotePrefix="0" xfId="0">
      <alignment horizontal="center" vertical="center"/>
      <protection locked="0" hidden="0"/>
    </xf>
    <xf numFmtId="0" fontId="13" fillId="0" borderId="2" applyAlignment="1" applyProtection="1" pivotButton="0" quotePrefix="0" xfId="0">
      <alignment horizontal="center" vertical="center"/>
      <protection locked="0" hidden="0"/>
    </xf>
    <xf numFmtId="0" fontId="13" fillId="4" borderId="1" applyAlignment="1" applyProtection="1" pivotButton="0" quotePrefix="0" xfId="0">
      <alignment horizontal="left" vertical="bottom"/>
      <protection locked="0" hidden="0"/>
    </xf>
    <xf numFmtId="0" fontId="13" fillId="4" borderId="29" applyAlignment="1" applyProtection="1" pivotButton="0" quotePrefix="0" xfId="0">
      <alignment horizontal="general" vertical="bottom"/>
      <protection locked="0" hidden="0"/>
    </xf>
    <xf numFmtId="0" fontId="13" fillId="4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bottom"/>
      <protection locked="0" hidden="0"/>
    </xf>
    <xf numFmtId="0" fontId="13" fillId="0" borderId="3" applyAlignment="1" applyProtection="1" pivotButton="0" quotePrefix="0" xfId="0">
      <alignment horizontal="general" vertical="center"/>
      <protection locked="0" hidden="0"/>
    </xf>
    <xf numFmtId="0" fontId="13" fillId="0" borderId="2" applyAlignment="1" applyProtection="1" pivotButton="0" quotePrefix="0" xfId="0">
      <alignment horizontal="general" vertical="center"/>
      <protection locked="0" hidden="0"/>
    </xf>
    <xf numFmtId="0" fontId="13" fillId="0" borderId="14" applyAlignment="1" applyProtection="1" pivotButton="0" quotePrefix="0" xfId="0">
      <alignment horizontal="general" vertical="center"/>
      <protection locked="0" hidden="0"/>
    </xf>
    <xf numFmtId="0" fontId="13" fillId="4" borderId="3" applyAlignment="1" applyProtection="1" pivotButton="0" quotePrefix="0" xfId="0">
      <alignment horizontal="center" vertical="bottom"/>
      <protection locked="0" hidden="0"/>
    </xf>
    <xf numFmtId="0" fontId="4" fillId="2" borderId="11" applyAlignment="1" applyProtection="1" pivotButton="0" quotePrefix="0" xfId="0">
      <alignment horizontal="center" vertical="bottom"/>
      <protection locked="0" hidden="0"/>
    </xf>
    <xf numFmtId="0" fontId="7" fillId="2" borderId="1" applyAlignment="1" applyProtection="1" pivotButton="0" quotePrefix="0" xfId="0">
      <alignment horizontal="center" vertical="center"/>
      <protection locked="0" hidden="0"/>
    </xf>
    <xf numFmtId="1" fontId="7" fillId="4" borderId="1" applyAlignment="1" pivotButton="0" quotePrefix="0" xfId="0">
      <alignment horizontal="center" vertical="center"/>
    </xf>
    <xf numFmtId="167" fontId="49" fillId="2" borderId="0" applyAlignment="1" pivotButton="0" quotePrefix="0" xfId="28">
      <alignment horizontal="center" vertical="bottom"/>
    </xf>
    <xf numFmtId="0" fontId="13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1" fillId="5" borderId="11" applyAlignment="1" pivotButton="0" quotePrefix="0" xfId="0">
      <alignment horizontal="center" vertical="center"/>
    </xf>
    <xf numFmtId="0" fontId="14" fillId="5" borderId="3" applyAlignment="1" pivotButton="0" quotePrefix="0" xfId="0">
      <alignment horizontal="general" vertical="bottom"/>
    </xf>
    <xf numFmtId="0" fontId="14" fillId="5" borderId="29" applyAlignment="1" pivotButton="0" quotePrefix="0" xfId="0">
      <alignment horizontal="general" vertical="bottom"/>
    </xf>
    <xf numFmtId="0" fontId="14" fillId="5" borderId="1" applyAlignment="1" pivotButton="0" quotePrefix="0" xfId="0">
      <alignment horizontal="general" vertical="bottom"/>
    </xf>
    <xf numFmtId="0" fontId="14" fillId="5" borderId="1" applyAlignment="1" pivotButton="0" quotePrefix="0" xfId="0">
      <alignment horizontal="center" vertical="bottom"/>
    </xf>
    <xf numFmtId="0" fontId="14" fillId="2" borderId="8" applyAlignment="1" pivotButton="0" quotePrefix="0" xfId="0">
      <alignment horizontal="center" vertical="bottom"/>
    </xf>
    <xf numFmtId="0" fontId="4" fillId="2" borderId="12" applyAlignment="1" pivotButton="0" quotePrefix="0" xfId="0">
      <alignment horizontal="center" vertical="bottom"/>
    </xf>
    <xf numFmtId="0" fontId="4" fillId="0" borderId="8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bottom"/>
    </xf>
    <xf numFmtId="1" fontId="15" fillId="10" borderId="3" applyAlignment="1" applyProtection="1" pivotButton="0" quotePrefix="0" xfId="0">
      <alignment horizontal="left" vertical="bottom"/>
      <protection locked="0" hidden="0"/>
    </xf>
    <xf numFmtId="1" fontId="15" fillId="10" borderId="1" applyAlignment="1" applyProtection="1" pivotButton="0" quotePrefix="0" xfId="0">
      <alignment horizontal="general" vertical="bottom"/>
      <protection locked="0" hidden="0"/>
    </xf>
    <xf numFmtId="0" fontId="68" fillId="0" borderId="1" applyAlignment="1" applyProtection="1" pivotButton="0" quotePrefix="0" xfId="0">
      <alignment horizontal="center" vertical="center"/>
      <protection locked="0" hidden="0"/>
    </xf>
    <xf numFmtId="0" fontId="7" fillId="2" borderId="8" applyAlignment="1" pivotButton="0" quotePrefix="0" xfId="0">
      <alignment horizontal="center" vertical="bottom"/>
    </xf>
    <xf numFmtId="171" fontId="4" fillId="4" borderId="22" applyAlignment="1" applyProtection="1" pivotButton="0" quotePrefix="0" xfId="0">
      <alignment horizontal="left" vertical="center"/>
      <protection locked="0" hidden="0"/>
    </xf>
    <xf numFmtId="0" fontId="4" fillId="4" borderId="57" applyAlignment="1" applyProtection="1" pivotButton="0" quotePrefix="0" xfId="0">
      <alignment horizontal="left" vertical="center"/>
      <protection locked="0" hidden="0"/>
    </xf>
    <xf numFmtId="167" fontId="15" fillId="10" borderId="3" applyAlignment="1" applyProtection="1" pivotButton="0" quotePrefix="0" xfId="0">
      <alignment horizontal="left" vertical="bottom"/>
      <protection locked="0" hidden="0"/>
    </xf>
    <xf numFmtId="0" fontId="15" fillId="10" borderId="1" applyAlignment="1" applyProtection="1" pivotButton="0" quotePrefix="0" xfId="0">
      <alignment horizontal="general" vertical="bottom"/>
      <protection locked="0" hidden="0"/>
    </xf>
    <xf numFmtId="175" fontId="4" fillId="4" borderId="2" applyAlignment="1" applyProtection="1" pivotButton="0" quotePrefix="0" xfId="0">
      <alignment horizontal="left" vertical="center"/>
      <protection locked="0" hidden="0"/>
    </xf>
    <xf numFmtId="0" fontId="31" fillId="0" borderId="25" applyAlignment="1" pivotButton="0" quotePrefix="0" xfId="0">
      <alignment horizontal="left" vertical="center"/>
    </xf>
    <xf numFmtId="0" fontId="15" fillId="10" borderId="3" applyAlignment="1" applyProtection="1" pivotButton="0" quotePrefix="0" xfId="0">
      <alignment horizontal="left" vertical="bottom"/>
      <protection locked="0" hidden="0"/>
    </xf>
    <xf numFmtId="0" fontId="21" fillId="2" borderId="8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1" fontId="4" fillId="4" borderId="25" applyAlignment="1" applyProtection="1" pivotButton="0" quotePrefix="0" xfId="0">
      <alignment horizontal="center" vertical="center"/>
      <protection locked="0" hidden="0"/>
    </xf>
    <xf numFmtId="1" fontId="4" fillId="4" borderId="18" applyAlignment="1" applyProtection="1" pivotButton="0" quotePrefix="0" xfId="0">
      <alignment horizontal="center" vertical="center"/>
      <protection locked="0" hidden="0"/>
    </xf>
    <xf numFmtId="1" fontId="4" fillId="4" borderId="57" applyAlignment="1" applyProtection="1" pivotButton="0" quotePrefix="0" xfId="0">
      <alignment horizontal="center" vertical="center"/>
      <protection locked="0" hidden="0"/>
    </xf>
    <xf numFmtId="1" fontId="4" fillId="4" borderId="56" applyAlignment="1" applyProtection="1" pivotButton="0" quotePrefix="0" xfId="0">
      <alignment horizontal="center" vertical="center"/>
      <protection locked="0" hidden="0"/>
    </xf>
    <xf numFmtId="0" fontId="21" fillId="5" borderId="1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center"/>
    </xf>
    <xf numFmtId="0" fontId="4" fillId="1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general" vertical="bottom"/>
    </xf>
    <xf numFmtId="0" fontId="4" fillId="4" borderId="1" applyAlignment="1" applyProtection="1" pivotButton="0" quotePrefix="0" xfId="0">
      <alignment horizontal="center" vertical="bottom"/>
      <protection locked="0" hidden="0"/>
    </xf>
    <xf numFmtId="0" fontId="13" fillId="4" borderId="3" applyAlignment="1" applyProtection="1" pivotButton="0" quotePrefix="0" xfId="0">
      <alignment horizontal="center" vertical="center"/>
      <protection locked="0" hidden="0"/>
    </xf>
    <xf numFmtId="0" fontId="13" fillId="4" borderId="29" applyAlignment="1" applyProtection="1" pivotButton="0" quotePrefix="0" xfId="0">
      <alignment horizontal="center" vertical="center"/>
      <protection locked="0" hidden="0"/>
    </xf>
    <xf numFmtId="167" fontId="4" fillId="2" borderId="1" applyAlignment="1" pivotButton="0" quotePrefix="0" xfId="0">
      <alignment horizontal="left" vertical="center"/>
    </xf>
    <xf numFmtId="1" fontId="4" fillId="4" borderId="22" applyAlignment="1" applyProtection="1" pivotButton="0" quotePrefix="0" xfId="0">
      <alignment horizontal="center" vertical="center"/>
      <protection locked="0" hidden="0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bottom"/>
    </xf>
    <xf numFmtId="49" fontId="4" fillId="0" borderId="1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bottom"/>
    </xf>
    <xf numFmtId="0" fontId="4" fillId="2" borderId="12" applyAlignment="1" pivotButton="0" quotePrefix="0" xfId="0">
      <alignment horizontal="center" vertical="center"/>
    </xf>
    <xf numFmtId="1" fontId="18" fillId="3" borderId="12" applyAlignment="1" pivotButton="0" quotePrefix="0" xfId="0">
      <alignment horizontal="center" vertical="center"/>
    </xf>
    <xf numFmtId="167" fontId="49" fillId="6" borderId="12" applyAlignment="1" pivotButton="0" quotePrefix="0" xfId="0">
      <alignment horizontal="center" vertical="bottom"/>
    </xf>
    <xf numFmtId="175" fontId="4" fillId="4" borderId="138" applyAlignment="1" applyProtection="1" pivotButton="0" quotePrefix="0" xfId="0">
      <alignment horizontal="center" vertical="center"/>
      <protection locked="0" hidden="0"/>
    </xf>
    <xf numFmtId="0" fontId="8" fillId="7" borderId="2" applyAlignment="1" pivotButton="0" quotePrefix="0" xfId="0">
      <alignment horizontal="general" vertical="bottom"/>
    </xf>
    <xf numFmtId="167" fontId="49" fillId="6" borderId="8" applyAlignment="1" pivotButton="0" quotePrefix="0" xfId="0">
      <alignment horizontal="center" vertical="bottom"/>
    </xf>
    <xf numFmtId="2" fontId="4" fillId="4" borderId="139" applyAlignment="1" applyProtection="1" pivotButton="0" quotePrefix="0" xfId="0">
      <alignment horizontal="center" vertical="center"/>
      <protection locked="0" hidden="0"/>
    </xf>
    <xf numFmtId="0" fontId="8" fillId="4" borderId="26" applyAlignment="1" pivotButton="0" quotePrefix="0" xfId="0">
      <alignment horizontal="general" vertical="bottom"/>
    </xf>
    <xf numFmtId="0" fontId="4" fillId="2" borderId="9" applyAlignment="1" pivotButton="0" quotePrefix="0" xfId="0">
      <alignment horizontal="center" vertical="bottom"/>
    </xf>
    <xf numFmtId="0" fontId="8" fillId="4" borderId="8" applyAlignment="1" pivotButton="0" quotePrefix="0" xfId="0">
      <alignment horizontal="general" vertical="bottom"/>
    </xf>
    <xf numFmtId="0" fontId="8" fillId="4" borderId="57" applyAlignment="1" pivotButton="0" quotePrefix="0" xfId="0">
      <alignment horizontal="general" vertical="bottom"/>
    </xf>
    <xf numFmtId="0" fontId="21" fillId="2" borderId="9" applyAlignment="1" pivotButton="0" quotePrefix="0" xfId="0">
      <alignment horizontal="left" vertical="top"/>
    </xf>
    <xf numFmtId="0" fontId="4" fillId="2" borderId="8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bottom"/>
    </xf>
    <xf numFmtId="0" fontId="4" fillId="10" borderId="8" applyAlignment="1" pivotButton="0" quotePrefix="0" xfId="0">
      <alignment horizontal="left" vertical="center"/>
    </xf>
    <xf numFmtId="0" fontId="4" fillId="10" borderId="8" applyAlignment="1" pivotButton="0" quotePrefix="0" xfId="0">
      <alignment horizontal="center" vertical="center"/>
    </xf>
    <xf numFmtId="2" fontId="4" fillId="17" borderId="139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horizontal="general" vertical="bottom"/>
    </xf>
    <xf numFmtId="0" fontId="4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center" vertical="center"/>
    </xf>
    <xf numFmtId="167" fontId="18" fillId="3" borderId="2" applyAlignment="1" pivotButton="0" quotePrefix="0" xfId="0">
      <alignment horizontal="center" vertical="center"/>
    </xf>
    <xf numFmtId="167" fontId="49" fillId="6" borderId="2" applyAlignment="1" pivotButton="0" quotePrefix="0" xfId="0">
      <alignment horizontal="center" vertical="bottom"/>
    </xf>
    <xf numFmtId="2" fontId="4" fillId="17" borderId="140" applyAlignment="1" applyProtection="1" pivotButton="0" quotePrefix="0" xfId="0">
      <alignment horizontal="center" vertical="center"/>
      <protection locked="0" hidden="0"/>
    </xf>
    <xf numFmtId="2" fontId="4" fillId="2" borderId="0" applyAlignment="1" pivotButton="0" quotePrefix="0" xfId="0">
      <alignment horizontal="general" vertical="bottom"/>
    </xf>
    <xf numFmtId="2" fontId="4" fillId="2" borderId="1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bottom"/>
    </xf>
    <xf numFmtId="0" fontId="8" fillId="4" borderId="22" applyAlignment="1" pivotButton="0" quotePrefix="0" xfId="0">
      <alignment horizontal="general" vertical="bottom"/>
    </xf>
    <xf numFmtId="0" fontId="69" fillId="2" borderId="0" applyAlignment="1" pivotButton="0" quotePrefix="0" xfId="0">
      <alignment horizontal="general" vertical="bottom"/>
    </xf>
    <xf numFmtId="167" fontId="27" fillId="2" borderId="25" applyAlignment="1" pivotButton="0" quotePrefix="0" xfId="0">
      <alignment horizontal="center" vertical="bottom"/>
    </xf>
    <xf numFmtId="0" fontId="70" fillId="2" borderId="0" applyAlignment="1" pivotButton="0" quotePrefix="0" xfId="0">
      <alignment horizontal="general" vertical="bottom"/>
    </xf>
    <xf numFmtId="0" fontId="21" fillId="2" borderId="5" applyAlignment="1" applyProtection="1" pivotButton="0" quotePrefix="0" xfId="0">
      <alignment horizontal="center" vertical="top" wrapText="1"/>
      <protection locked="0" hidden="0"/>
    </xf>
    <xf numFmtId="0" fontId="21" fillId="2" borderId="6" applyAlignment="1" applyProtection="1" pivotButton="0" quotePrefix="0" xfId="0">
      <alignment horizontal="left" vertical="top" wrapText="1"/>
      <protection locked="0" hidden="0"/>
    </xf>
    <xf numFmtId="0" fontId="21" fillId="2" borderId="7" applyAlignment="1" applyProtection="1" pivotButton="0" quotePrefix="0" xfId="0">
      <alignment horizontal="left" vertical="top" wrapText="1"/>
      <protection locked="0" hidden="0"/>
    </xf>
    <xf numFmtId="1" fontId="27" fillId="2" borderId="15" applyAlignment="1" pivotButton="0" quotePrefix="0" xfId="0">
      <alignment horizontal="center" vertical="bottom"/>
    </xf>
    <xf numFmtId="10" fontId="70" fillId="2" borderId="0" applyAlignment="1" pivotButton="0" quotePrefix="0" xfId="0">
      <alignment horizontal="general" vertical="bottom"/>
    </xf>
    <xf numFmtId="0" fontId="21" fillId="2" borderId="2" applyAlignment="1" applyProtection="1" pivotButton="0" quotePrefix="0" xfId="0">
      <alignment horizontal="center" vertical="top" wrapText="1"/>
      <protection locked="0" hidden="0"/>
    </xf>
    <xf numFmtId="0" fontId="69" fillId="2" borderId="22" applyAlignment="1" pivotButton="0" quotePrefix="0" xfId="0">
      <alignment horizontal="center" vertical="bottom"/>
    </xf>
    <xf numFmtId="0" fontId="21" fillId="12" borderId="13" applyAlignment="1" pivotButton="0" quotePrefix="0" xfId="0">
      <alignment horizontal="center" vertical="bottom"/>
    </xf>
    <xf numFmtId="0" fontId="4" fillId="12" borderId="0" applyAlignment="1" pivotButton="0" quotePrefix="0" xfId="0">
      <alignment horizontal="center" vertical="bottom"/>
    </xf>
    <xf numFmtId="0" fontId="4" fillId="2" borderId="18" applyAlignment="1" pivotButton="0" quotePrefix="0" xfId="0">
      <alignment horizontal="center" vertical="bottom"/>
    </xf>
    <xf numFmtId="0" fontId="4" fillId="2" borderId="25" applyAlignment="1" pivotButton="0" quotePrefix="0" xfId="0">
      <alignment horizontal="general" vertical="bottom"/>
    </xf>
    <xf numFmtId="0" fontId="4" fillId="2" borderId="21" applyAlignment="1" pivotButton="0" quotePrefix="0" xfId="0">
      <alignment horizontal="center" vertical="bottom"/>
    </xf>
    <xf numFmtId="0" fontId="4" fillId="2" borderId="15" applyAlignment="1" pivotButton="0" quotePrefix="0" xfId="0">
      <alignment horizontal="general" vertical="bottom"/>
    </xf>
    <xf numFmtId="0" fontId="4" fillId="2" borderId="30" applyAlignment="1" pivotButton="0" quotePrefix="0" xfId="0">
      <alignment horizontal="center" vertical="bottom"/>
    </xf>
    <xf numFmtId="0" fontId="4" fillId="2" borderId="24" applyAlignment="1" pivotButton="0" quotePrefix="0" xfId="0">
      <alignment horizontal="center" vertical="bottom"/>
    </xf>
    <xf numFmtId="0" fontId="4" fillId="2" borderId="22" applyAlignment="1" pivotButton="0" quotePrefix="0" xfId="0">
      <alignment horizontal="general" vertical="bottom"/>
    </xf>
    <xf numFmtId="0" fontId="4" fillId="2" borderId="25" applyAlignment="1" pivotButton="0" quotePrefix="0" xfId="0">
      <alignment horizontal="center" vertical="center"/>
    </xf>
    <xf numFmtId="10" fontId="4" fillId="2" borderId="25" applyAlignment="1" pivotButton="0" quotePrefix="0" xfId="0">
      <alignment horizontal="general" vertical="bottom"/>
    </xf>
    <xf numFmtId="1" fontId="5" fillId="2" borderId="15" applyAlignment="1" pivotButton="0" quotePrefix="0" xfId="0">
      <alignment horizontal="center" vertical="bottom"/>
    </xf>
    <xf numFmtId="176" fontId="5" fillId="2" borderId="15" applyAlignment="1" pivotButton="0" quotePrefix="0" xfId="0">
      <alignment horizontal="center" vertical="bottom"/>
    </xf>
    <xf numFmtId="1" fontId="4" fillId="2" borderId="15" applyAlignment="1" pivotButton="0" quotePrefix="0" xfId="0">
      <alignment horizontal="center" vertical="bottom"/>
    </xf>
    <xf numFmtId="0" fontId="27" fillId="2" borderId="9" applyAlignment="1" pivotButton="0" quotePrefix="0" xfId="0">
      <alignment horizontal="center" vertical="bottom"/>
    </xf>
    <xf numFmtId="0" fontId="27" fillId="2" borderId="0" applyAlignment="1" pivotButton="0" quotePrefix="0" xfId="0">
      <alignment horizontal="center" vertical="bottom"/>
    </xf>
    <xf numFmtId="9" fontId="4" fillId="2" borderId="25" applyAlignment="1" pivotButton="0" quotePrefix="0" xfId="0">
      <alignment horizontal="center" vertical="bottom"/>
    </xf>
    <xf numFmtId="2" fontId="27" fillId="2" borderId="9" applyAlignment="1" pivotButton="0" quotePrefix="0" xfId="0">
      <alignment horizontal="general" vertical="bottom"/>
    </xf>
    <xf numFmtId="177" fontId="27" fillId="2" borderId="0" applyAlignment="1" pivotButton="0" quotePrefix="0" xfId="0">
      <alignment horizontal="general" vertical="bottom"/>
    </xf>
    <xf numFmtId="2" fontId="4" fillId="4" borderId="141" applyAlignment="1" applyProtection="1" pivotButton="0" quotePrefix="0" xfId="0">
      <alignment horizontal="center" vertical="center"/>
      <protection locked="0" hidden="0"/>
    </xf>
    <xf numFmtId="9" fontId="4" fillId="2" borderId="15" applyAlignment="1" pivotButton="0" quotePrefix="0" xfId="0">
      <alignment horizontal="center" vertical="bottom"/>
    </xf>
    <xf numFmtId="2" fontId="20" fillId="2" borderId="9" applyAlignment="1" pivotButton="0" quotePrefix="0" xfId="0">
      <alignment horizontal="general" vertical="bottom"/>
    </xf>
    <xf numFmtId="177" fontId="20" fillId="2" borderId="0" applyAlignment="1" pivotButton="0" quotePrefix="0" xfId="0">
      <alignment horizontal="general" vertical="bottom"/>
    </xf>
    <xf numFmtId="0" fontId="4" fillId="10" borderId="28" applyAlignment="1" pivotButton="0" quotePrefix="0" xfId="0">
      <alignment horizontal="center" vertical="bottom"/>
    </xf>
    <xf numFmtId="0" fontId="4" fillId="10" borderId="21" applyAlignment="1" pivotButton="0" quotePrefix="0" xfId="0">
      <alignment horizontal="center" vertical="bottom"/>
    </xf>
    <xf numFmtId="1" fontId="4" fillId="2" borderId="15" applyAlignment="1" pivotButton="0" quotePrefix="0" xfId="0">
      <alignment horizontal="general" vertical="bottom"/>
    </xf>
    <xf numFmtId="9" fontId="4" fillId="2" borderId="22" applyAlignment="1" pivotButton="0" quotePrefix="0" xfId="0">
      <alignment horizontal="center" vertical="bottom"/>
    </xf>
    <xf numFmtId="1" fontId="18" fillId="3" borderId="0" applyAlignment="1" pivotButton="0" quotePrefix="0" xfId="0">
      <alignment horizontal="center" vertical="center"/>
    </xf>
    <xf numFmtId="167" fontId="18" fillId="3" borderId="0" applyAlignment="1" pivotButton="0" quotePrefix="0" xfId="0">
      <alignment horizontal="center" vertical="center"/>
    </xf>
    <xf numFmtId="164" fontId="4" fillId="0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general" vertical="center"/>
    </xf>
    <xf numFmtId="164" fontId="4" fillId="2" borderId="0" applyAlignment="1" pivotButton="0" quotePrefix="0" xfId="28">
      <alignment horizontal="center" vertical="center"/>
    </xf>
    <xf numFmtId="164" fontId="4" fillId="2" borderId="0" applyAlignment="1" pivotButton="0" quotePrefix="0" xfId="28">
      <alignment horizontal="left" vertical="center"/>
    </xf>
    <xf numFmtId="164" fontId="4" fillId="2" borderId="0" applyAlignment="1" pivotButton="0" quotePrefix="0" xfId="28">
      <alignment horizontal="right" vertical="center"/>
    </xf>
    <xf numFmtId="0" fontId="21" fillId="5" borderId="142" applyAlignment="1" pivotButton="0" quotePrefix="0" xfId="0">
      <alignment horizontal="center" vertical="center"/>
    </xf>
    <xf numFmtId="0" fontId="0" fillId="0" borderId="181" pivotButton="0" quotePrefix="0" xfId="0"/>
    <xf numFmtId="0" fontId="0" fillId="0" borderId="182" pivotButton="0" quotePrefix="0" xfId="0"/>
    <xf numFmtId="0" fontId="4" fillId="2" borderId="143" applyAlignment="1" pivotButton="0" quotePrefix="0" xfId="0">
      <alignment horizontal="right" vertical="center"/>
    </xf>
    <xf numFmtId="0" fontId="4" fillId="2" borderId="2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71" fillId="4" borderId="1" applyAlignment="1" pivotButton="0" quotePrefix="0" xfId="0">
      <alignment horizontal="center" vertical="center"/>
    </xf>
    <xf numFmtId="0" fontId="15" fillId="5" borderId="145" applyAlignment="1" pivotButton="0" quotePrefix="0" xfId="0">
      <alignment horizontal="center" vertical="top" wrapText="1"/>
    </xf>
    <xf numFmtId="0" fontId="21" fillId="5" borderId="146" applyAlignment="1" pivotButton="0" quotePrefix="0" xfId="0">
      <alignment horizontal="center" vertical="top" wrapText="1"/>
    </xf>
    <xf numFmtId="0" fontId="0" fillId="0" borderId="184" pivotButton="0" quotePrefix="0" xfId="0"/>
    <xf numFmtId="0" fontId="0" fillId="0" borderId="183" pivotButton="0" quotePrefix="0" xfId="0"/>
    <xf numFmtId="0" fontId="0" fillId="0" borderId="185" pivotButton="0" quotePrefix="0" xfId="0"/>
    <xf numFmtId="0" fontId="21" fillId="5" borderId="12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0" borderId="147" pivotButton="0" quotePrefix="0" xfId="0"/>
    <xf numFmtId="0" fontId="13" fillId="0" borderId="8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top" wrapText="1"/>
    </xf>
    <xf numFmtId="2" fontId="4" fillId="0" borderId="147" applyAlignment="1" pivotButton="0" quotePrefix="0" xfId="0">
      <alignment horizontal="center" vertical="center"/>
    </xf>
    <xf numFmtId="2" fontId="48" fillId="18" borderId="2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right" vertical="center"/>
    </xf>
    <xf numFmtId="171" fontId="4" fillId="4" borderId="22" applyAlignment="1" pivotButton="0" quotePrefix="0" xfId="0">
      <alignment horizontal="center" vertical="center"/>
    </xf>
    <xf numFmtId="2" fontId="4" fillId="2" borderId="143" applyAlignment="1" pivotButton="0" quotePrefix="0" xfId="0">
      <alignment horizontal="center" vertical="center"/>
    </xf>
    <xf numFmtId="2" fontId="20" fillId="2" borderId="0" applyAlignment="1" pivotButton="0" quotePrefix="0" xfId="0">
      <alignment horizontal="center" vertical="center"/>
    </xf>
    <xf numFmtId="2" fontId="4" fillId="2" borderId="0" applyAlignment="1" pivotButton="0" quotePrefix="0" xfId="0">
      <alignment horizontal="center" vertical="center"/>
    </xf>
    <xf numFmtId="10" fontId="4" fillId="2" borderId="144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21" fillId="5" borderId="145" applyAlignment="1" pivotButton="0" quotePrefix="0" xfId="0">
      <alignment horizontal="center" vertical="center"/>
    </xf>
    <xf numFmtId="0" fontId="21" fillId="5" borderId="148" applyAlignment="1" pivotButton="0" quotePrefix="0" xfId="0">
      <alignment horizontal="center" vertical="center"/>
    </xf>
    <xf numFmtId="0" fontId="4" fillId="4" borderId="57" applyAlignment="1" pivotButton="0" quotePrefix="0" xfId="0">
      <alignment horizontal="center" vertical="center"/>
    </xf>
    <xf numFmtId="2" fontId="21" fillId="0" borderId="145" applyAlignment="1" pivotButton="0" quotePrefix="0" xfId="0">
      <alignment horizontal="center" vertical="center"/>
    </xf>
    <xf numFmtId="2" fontId="21" fillId="0" borderId="148" applyAlignment="1" pivotButton="0" quotePrefix="0" xfId="0">
      <alignment horizontal="center" vertical="center"/>
    </xf>
    <xf numFmtId="0" fontId="64" fillId="0" borderId="25" applyAlignment="1" pivotButton="0" quotePrefix="0" xfId="0">
      <alignment horizontal="center" vertical="center"/>
    </xf>
    <xf numFmtId="2" fontId="21" fillId="0" borderId="149" applyAlignment="1" pivotButton="0" quotePrefix="0" xfId="0">
      <alignment horizontal="center" vertical="center"/>
    </xf>
    <xf numFmtId="0" fontId="21" fillId="5" borderId="1" applyAlignment="1" pivotButton="0" quotePrefix="0" xfId="0">
      <alignment horizontal="general" vertical="center"/>
    </xf>
    <xf numFmtId="1" fontId="4" fillId="4" borderId="1" applyAlignment="1" pivotButton="0" quotePrefix="0" xfId="0">
      <alignment horizontal="center" vertical="center"/>
    </xf>
    <xf numFmtId="1" fontId="4" fillId="4" borderId="11" applyAlignment="1" pivotButton="0" quotePrefix="0" xfId="0">
      <alignment horizontal="center" vertical="center"/>
    </xf>
    <xf numFmtId="2" fontId="21" fillId="0" borderId="150" applyAlignment="1" pivotButton="0" quotePrefix="0" xfId="0">
      <alignment horizontal="center" vertical="center"/>
    </xf>
    <xf numFmtId="0" fontId="0" fillId="0" borderId="186" pivotButton="0" quotePrefix="0" xfId="0"/>
    <xf numFmtId="0" fontId="0" fillId="0" borderId="187" pivotButton="0" quotePrefix="0" xfId="0"/>
    <xf numFmtId="0" fontId="4" fillId="2" borderId="151" applyAlignment="1" pivotButton="0" quotePrefix="0" xfId="0">
      <alignment horizontal="center" vertical="center"/>
    </xf>
    <xf numFmtId="0" fontId="4" fillId="2" borderId="152" applyAlignment="1" pivotButton="0" quotePrefix="0" xfId="0">
      <alignment horizontal="left" vertical="center"/>
    </xf>
    <xf numFmtId="0" fontId="4" fillId="2" borderId="0" applyAlignment="1" pivotButton="0" quotePrefix="0" xfId="0">
      <alignment horizontal="general" vertical="center"/>
    </xf>
    <xf numFmtId="0" fontId="39" fillId="18" borderId="1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/>
    </xf>
    <xf numFmtId="0" fontId="21" fillId="5" borderId="3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" fontId="13" fillId="2" borderId="10" applyAlignment="1" pivotButton="0" quotePrefix="0" xfId="0">
      <alignment horizontal="center" vertical="center"/>
    </xf>
    <xf numFmtId="1" fontId="4" fillId="4" borderId="56" applyAlignment="1" pivotButton="0" quotePrefix="0" xfId="0">
      <alignment horizontal="center" vertical="center"/>
    </xf>
    <xf numFmtId="1" fontId="4" fillId="4" borderId="57" applyAlignment="1" pivotButton="0" quotePrefix="0" xfId="0">
      <alignment horizontal="center" vertical="center"/>
    </xf>
    <xf numFmtId="1" fontId="20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20" fillId="0" borderId="0" applyAlignment="1" pivotButton="0" quotePrefix="0" xfId="0">
      <alignment horizontal="center" vertical="center"/>
    </xf>
    <xf numFmtId="0" fontId="4" fillId="2" borderId="3" applyAlignment="1" pivotButton="0" quotePrefix="0" xfId="0">
      <alignment horizontal="general" vertical="center"/>
    </xf>
    <xf numFmtId="1" fontId="4" fillId="2" borderId="16" applyAlignment="1" pivotButton="0" quotePrefix="0" xfId="0">
      <alignment horizontal="center" vertical="center"/>
    </xf>
    <xf numFmtId="1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" applyAlignment="1" pivotButton="0" quotePrefix="0" xfId="0">
      <alignment horizontal="general" vertical="center"/>
    </xf>
    <xf numFmtId="1" fontId="4" fillId="4" borderId="22" applyAlignment="1" pivotButton="0" quotePrefix="0" xfId="0">
      <alignment horizontal="center" vertical="center"/>
    </xf>
    <xf numFmtId="1" fontId="4" fillId="4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/>
    </xf>
    <xf numFmtId="1" fontId="4" fillId="2" borderId="0" applyAlignment="1" pivotButton="0" quotePrefix="0" xfId="0">
      <alignment horizontal="center" vertical="center"/>
    </xf>
    <xf numFmtId="1" fontId="4" fillId="2" borderId="10" applyAlignment="1" pivotButton="0" quotePrefix="0" xfId="0">
      <alignment horizontal="center" vertical="center"/>
    </xf>
    <xf numFmtId="1" fontId="4" fillId="4" borderId="12" applyAlignment="1" pivotButton="0" quotePrefix="0" xfId="0">
      <alignment horizontal="center" vertical="center"/>
    </xf>
    <xf numFmtId="1" fontId="4" fillId="4" borderId="7" applyAlignment="1" pivotButton="0" quotePrefix="0" xfId="0">
      <alignment horizontal="center" vertical="center"/>
    </xf>
    <xf numFmtId="1" fontId="4" fillId="4" borderId="15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2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bottom"/>
    </xf>
    <xf numFmtId="1" fontId="20" fillId="2" borderId="0" applyAlignment="1" pivotButton="0" quotePrefix="0" xfId="0">
      <alignment horizontal="center" vertical="center"/>
    </xf>
    <xf numFmtId="0" fontId="21" fillId="5" borderId="3" applyAlignment="1" pivotButton="0" quotePrefix="0" xfId="0">
      <alignment horizontal="general" vertical="center" wrapText="1"/>
    </xf>
    <xf numFmtId="0" fontId="72" fillId="5" borderId="1" applyAlignment="1" pivotButton="0" quotePrefix="0" xfId="0">
      <alignment horizontal="center" vertical="center" wrapText="1"/>
    </xf>
    <xf numFmtId="0" fontId="21" fillId="5" borderId="3" applyAlignment="1" pivotButton="0" quotePrefix="0" xfId="0">
      <alignment horizontal="general" vertical="top" wrapText="1"/>
    </xf>
    <xf numFmtId="0" fontId="21" fillId="5" borderId="14" applyAlignment="1" pivotButton="0" quotePrefix="0" xfId="0">
      <alignment horizontal="center" vertical="bottom"/>
    </xf>
    <xf numFmtId="0" fontId="4" fillId="4" borderId="25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4" borderId="27" applyAlignment="1" pivotButton="0" quotePrefix="0" xfId="0">
      <alignment horizontal="center" vertical="bottom"/>
    </xf>
    <xf numFmtId="0" fontId="4" fillId="4" borderId="2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bottom"/>
    </xf>
    <xf numFmtId="0" fontId="64" fillId="2" borderId="0" applyAlignment="1" pivotButton="0" quotePrefix="0" xfId="0">
      <alignment horizontal="right" vertical="top"/>
    </xf>
    <xf numFmtId="0" fontId="4" fillId="4" borderId="16" applyAlignment="1" pivotButton="0" quotePrefix="0" xfId="0">
      <alignment horizontal="center" vertical="bottom"/>
    </xf>
    <xf numFmtId="1" fontId="4" fillId="4" borderId="21" applyAlignment="1" pivotButton="0" quotePrefix="0" xfId="0">
      <alignment horizontal="center" vertical="center"/>
    </xf>
    <xf numFmtId="0" fontId="4" fillId="2" borderId="29" applyAlignment="1" pivotButton="0" quotePrefix="0" xfId="0">
      <alignment horizontal="general" vertical="bottom"/>
    </xf>
    <xf numFmtId="0" fontId="4" fillId="2" borderId="29" applyAlignment="1" pivotButton="0" quotePrefix="0" xfId="0">
      <alignment horizontal="center" vertical="bottom"/>
    </xf>
    <xf numFmtId="1" fontId="4" fillId="2" borderId="29" applyAlignment="1" pivotButton="0" quotePrefix="0" xfId="0">
      <alignment horizontal="center" vertical="center"/>
    </xf>
    <xf numFmtId="0" fontId="4" fillId="4" borderId="23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73" fillId="0" borderId="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1" fontId="4" fillId="4" borderId="25" applyAlignment="1" pivotButton="0" quotePrefix="0" xfId="0">
      <alignment horizontal="center" vertical="center"/>
    </xf>
    <xf numFmtId="1" fontId="4" fillId="4" borderId="18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bottom"/>
    </xf>
    <xf numFmtId="1" fontId="4" fillId="4" borderId="26" applyAlignment="1" pivotButton="0" quotePrefix="0" xfId="0">
      <alignment horizontal="center" vertical="center"/>
    </xf>
    <xf numFmtId="1" fontId="4" fillId="4" borderId="2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bottom"/>
    </xf>
    <xf numFmtId="0" fontId="4" fillId="0" borderId="25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4" fillId="0" borderId="19" applyAlignment="1" pivotButton="0" quotePrefix="0" xfId="0">
      <alignment horizontal="center" vertical="bottom"/>
    </xf>
    <xf numFmtId="1" fontId="4" fillId="4" borderId="8" applyAlignment="1" pivotButton="0" quotePrefix="0" xfId="0">
      <alignment horizontal="center" vertical="center"/>
    </xf>
    <xf numFmtId="1" fontId="4" fillId="4" borderId="1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bottom"/>
    </xf>
    <xf numFmtId="1" fontId="20" fillId="19" borderId="1" applyAlignment="1" pivotButton="0" quotePrefix="0" xfId="0">
      <alignment horizontal="center" vertical="center"/>
    </xf>
    <xf numFmtId="0" fontId="4" fillId="2" borderId="7" applyAlignment="1" pivotButton="0" quotePrefix="0" xfId="0">
      <alignment horizontal="general" vertical="center"/>
    </xf>
    <xf numFmtId="166" fontId="20" fillId="19" borderId="1" applyAlignment="1" pivotButton="0" quotePrefix="0" xfId="0">
      <alignment horizontal="center" vertical="center"/>
    </xf>
    <xf numFmtId="0" fontId="64" fillId="2" borderId="0" applyAlignment="1" pivotButton="0" quotePrefix="0" xfId="0">
      <alignment horizontal="general" vertical="center"/>
    </xf>
    <xf numFmtId="171" fontId="13" fillId="4" borderId="1" applyAlignment="1" applyProtection="1" pivotButton="0" quotePrefix="0" xfId="0">
      <alignment horizontal="center" vertical="center"/>
      <protection locked="0" hidden="0"/>
    </xf>
    <xf numFmtId="171" fontId="4" fillId="4" borderId="11" applyAlignment="1" applyProtection="1" pivotButton="0" quotePrefix="0" xfId="0">
      <alignment horizontal="center" vertical="center"/>
      <protection locked="0" hidden="0"/>
    </xf>
    <xf numFmtId="171" fontId="4" fillId="4" borderId="15" applyAlignment="1" pivotButton="0" quotePrefix="0" xfId="0">
      <alignment horizontal="center" vertical="bottom"/>
    </xf>
    <xf numFmtId="171" fontId="44" fillId="2" borderId="3" applyAlignment="1" pivotButton="0" quotePrefix="0" xfId="0">
      <alignment horizontal="center" vertical="center"/>
    </xf>
    <xf numFmtId="171" fontId="47" fillId="0" borderId="73" applyAlignment="1" pivotButton="0" quotePrefix="0" xfId="0">
      <alignment horizontal="center" vertical="center"/>
    </xf>
    <xf numFmtId="171" fontId="4" fillId="2" borderId="0" applyAlignment="1" applyProtection="1" pivotButton="0" quotePrefix="0" xfId="0">
      <alignment horizontal="general" vertical="center"/>
      <protection locked="0" hidden="0"/>
    </xf>
    <xf numFmtId="171" fontId="20" fillId="19" borderId="1" applyAlignment="1" pivotButton="0" quotePrefix="0" xfId="0">
      <alignment horizontal="center" vertical="center"/>
    </xf>
  </cellXfs>
  <cellStyles count="15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Percent 2" xfId="9"/>
    <cellStyle name="Percent 3" xfId="10"/>
    <cellStyle name="Percent 4" xfId="11"/>
    <cellStyle name="Standaard 2" xfId="12"/>
    <cellStyle name="Standaard 3" xfId="13"/>
    <cellStyle name="Excel Built-in Normal" xfId="14"/>
  </cellStyles>
  <dxfs count="34">
    <dxf>
      <font>
        <color rgb="FFFF0000"/>
      </font>
    </dxf>
    <dxf>
      <font>
        <color rgb="FF00B050"/>
      </font>
    </dxf>
    <dxf>
      <font>
        <name val="Arial"/>
        <charset val="1"/>
        <family val="0"/>
        <color rgb="FF000000"/>
        <sz val="11"/>
      </font>
    </dxf>
    <dxf>
      <fill>
        <patternFill>
          <bgColor theme="4" tint="0.5999"/>
        </patternFill>
      </fill>
    </dxf>
    <dxf>
      <fill>
        <patternFill>
          <bgColor theme="5" tint="0.3999"/>
        </patternFill>
      </fill>
    </dxf>
    <dxf>
      <fill>
        <patternFill>
          <bgColor rgb="FF7030A0"/>
        </patternFill>
      </fill>
    </dxf>
    <dxf>
      <fill>
        <patternFill>
          <bgColor rgb="FFCC66FF"/>
        </patternFill>
      </fill>
    </dxf>
    <dxf>
      <fill>
        <patternFill>
          <bgColor theme="9" tint="-0.25"/>
        </patternFill>
      </fill>
    </dxf>
    <dxf>
      <fill>
        <patternFill>
          <bgColor rgb="FF00B0F0"/>
        </patternFill>
      </fill>
    </dxf>
    <dxf>
      <fill>
        <patternFill>
          <bgColor theme="9" tint="0.3999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3300"/>
        </patternFill>
      </fill>
    </dxf>
    <dxf>
      <font>
        <color rgb="FFFFFFFF"/>
      </font>
      <fill>
        <patternFill>
          <bgColor theme="9" tint="0.3999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ont>
        <color rgb="FFFFCC99"/>
      </font>
    </dxf>
    <dxf>
      <font>
        <color rgb="FFFF0000"/>
      </font>
      <fill>
        <patternFill>
          <bgColor rgb="FFFFFFFF"/>
        </patternFill>
      </fill>
    </dxf>
    <dxf>
      <font>
        <color rgb="FFFFCC99"/>
      </font>
      <fill>
        <patternFill>
          <bgColor rgb="FFFFCC99"/>
        </patternFill>
      </fill>
    </dxf>
    <dxf>
      <font>
        <color rgb="FFFFFFFF"/>
      </font>
      <fill>
        <patternFill>
          <bgColor theme="2"/>
        </patternFill>
      </fill>
    </dxf>
    <dxf>
      <font>
        <color rgb="FFFFFFFF"/>
      </font>
    </dxf>
    <dxf>
      <fill>
        <patternFill>
          <bgColor rgb="FFCC99FF"/>
        </patternFill>
      </fill>
    </dxf>
    <dxf>
      <font>
        <strike val="0"/>
        <color rgb="FF000000"/>
      </font>
      <fill>
        <patternFill>
          <bgColor rgb="FF92D050"/>
        </patternFill>
      </fill>
    </dxf>
    <dxf>
      <font>
        <b val="1"/>
        <color rgb="FFFF0000"/>
      </font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font>
        <color rgb="FF000000"/>
      </font>
    </dxf>
    <dxf>
      <font>
        <b val="1"/>
        <i val="1"/>
        <color rgb="FF00B050"/>
      </font>
    </dxf>
    <dxf>
      <font>
        <i val="1"/>
        <color rgb="FF000000"/>
      </font>
    </dxf>
    <dxf>
      <font>
        <strike val="0"/>
        <color rgb="FF000000"/>
      </font>
      <fill>
        <patternFill>
          <bgColor rgb="FF000000"/>
        </patternFill>
      </fill>
    </dxf>
    <dxf>
      <font>
        <color rgb="FFFFFFFF"/>
      </font>
      <fill>
        <patternFill>
          <bgColor rgb="FF00B0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7F7F7F"/>
      <rgbColor rgb="FF6699FF"/>
      <rgbColor rgb="FF7030A0"/>
      <rgbColor rgb="FFFFFFCC"/>
      <rgbColor rgb="FFF2F2F2"/>
      <rgbColor rgb="FF660066"/>
      <rgbColor rgb="FFED7D31"/>
      <rgbColor rgb="FF0066CC"/>
      <rgbColor rgb="FFB4C7E7"/>
      <rgbColor rgb="FF000080"/>
      <rgbColor rgb="FFFF00FF"/>
      <rgbColor rgb="FFA9D18E"/>
      <rgbColor rgb="FF00FFFF"/>
      <rgbColor rgb="FF800080"/>
      <rgbColor rgb="FF800000"/>
      <rgbColor rgb="FF008080"/>
      <rgbColor rgb="FF0000FF"/>
      <rgbColor rgb="FF00B0F0"/>
      <rgbColor rgb="FFD9D9D9"/>
      <rgbColor rgb="FFFFF2CC"/>
      <rgbColor rgb="FFFFFF99"/>
      <rgbColor rgb="FFC9C9C9"/>
      <rgbColor rgb="FFF4B183"/>
      <rgbColor rgb="FFCC99FF"/>
      <rgbColor rgb="FFFFCC99"/>
      <rgbColor rgb="FF3366FF"/>
      <rgbColor rgb="FF70AD47"/>
      <rgbColor rgb="FF92D050"/>
      <rgbColor rgb="FFFFC000"/>
      <rgbColor rgb="FFFF9900"/>
      <rgbColor rgb="FFFA7D00"/>
      <rgbColor rgb="FFCC66FF"/>
      <rgbColor rgb="FFA5A5A5"/>
      <rgbColor rgb="FF002060"/>
      <rgbColor rgb="FF00B050"/>
      <rgbColor rgb="FF003300"/>
      <rgbColor rgb="FF333300"/>
      <rgbColor rgb="FFFF3300"/>
      <rgbColor rgb="FF99336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G10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E9" activeCellId="0" sqref="E9"/>
    </sheetView>
  </sheetViews>
  <sheetFormatPr baseColWidth="8" defaultColWidth="8.00390625" defaultRowHeight="15" zeroHeight="0" outlineLevelRow="0"/>
  <cols>
    <col width="4.5" customWidth="1" style="1069" min="1" max="2"/>
    <col width="9.5" customWidth="1" style="1069" min="3" max="3"/>
    <col width="7" customWidth="1" style="1069" min="4" max="4"/>
    <col width="5" customWidth="1" style="1069" min="5" max="5"/>
    <col width="10.88" customWidth="1" style="1069" min="6" max="6"/>
    <col width="5.12" customWidth="1" style="1069" min="7" max="8"/>
    <col width="3.12" customWidth="1" style="1069" min="9" max="9"/>
    <col width="4.12" customWidth="1" style="1069" min="10" max="10"/>
    <col width="6" customWidth="1" style="1069" min="11" max="11"/>
    <col width="5.12" customWidth="1" style="1069" min="12" max="12"/>
    <col width="5.5" customWidth="1" style="1069" min="13" max="13"/>
    <col width="3.12" customWidth="1" style="1069" min="14" max="14"/>
    <col width="5" customWidth="1" style="1069" min="15" max="15"/>
    <col width="9.119999999999999" customWidth="1" style="1069" min="16" max="16"/>
    <col width="8" customWidth="1" style="1070" min="17" max="17"/>
    <col width="8" customWidth="1" style="1071" min="18" max="18"/>
    <col width="13" customWidth="1" style="1071" min="19" max="19"/>
    <col width="8.119999999999999" customWidth="1" style="1071" min="20" max="20"/>
    <col width="10.12" customWidth="1" style="1072" min="21" max="21"/>
    <col hidden="1" width="10.49" customWidth="1" style="1069" min="22" max="28"/>
    <col hidden="1" width="8" customWidth="1" style="1069" min="29" max="16384"/>
  </cols>
  <sheetData>
    <row r="1" ht="15" customFormat="1" customHeight="1" s="1073">
      <c r="A1" s="1074" t="inlineStr">
        <is>
          <t>Receptuur</t>
        </is>
      </c>
      <c r="B1" s="1075" t="n"/>
      <c r="C1" s="1075" t="n"/>
      <c r="D1" s="1075" t="n"/>
      <c r="E1" s="1075" t="n"/>
      <c r="F1" s="1075" t="n"/>
      <c r="G1" s="1075" t="n"/>
      <c r="H1" s="1075" t="n"/>
      <c r="I1" s="1075" t="n"/>
      <c r="J1" s="1075" t="n"/>
      <c r="K1" s="1075" t="n"/>
      <c r="L1" s="1075" t="n"/>
      <c r="M1" s="1075" t="n"/>
      <c r="N1" s="1075" t="n"/>
      <c r="O1" s="1075" t="n"/>
      <c r="P1" s="1076" t="n"/>
      <c r="Q1" s="1077" t="inlineStr">
        <is>
          <t>WP Lekker in de Kauw (Bird) 40(NIET AF)</t>
        </is>
      </c>
      <c r="R1" s="1078" t="n"/>
      <c r="S1" s="1078" t="n"/>
      <c r="T1" s="1078" t="n"/>
      <c r="U1" s="1078" t="n"/>
    </row>
    <row r="2" ht="15" customFormat="1" customHeight="1" s="1073">
      <c r="A2" s="1079" t="n"/>
      <c r="B2" s="1080" t="n"/>
      <c r="C2" s="1080" t="n"/>
      <c r="D2" s="1080" t="n"/>
      <c r="E2" s="1080" t="n"/>
      <c r="F2" s="1080" t="n"/>
      <c r="G2" s="1080" t="n"/>
      <c r="H2" s="1080" t="n"/>
      <c r="I2" s="1080" t="n"/>
      <c r="J2" s="1080" t="n"/>
      <c r="K2" s="1080" t="n"/>
      <c r="L2" s="1080" t="n"/>
      <c r="M2" s="1080" t="n"/>
      <c r="N2" s="1080" t="n"/>
      <c r="O2" s="1080" t="n"/>
      <c r="P2" s="1081" t="n"/>
      <c r="Q2" s="1078" t="n"/>
      <c r="R2" s="1078" t="n"/>
      <c r="S2" s="1078" t="n"/>
      <c r="T2" s="1078" t="n"/>
      <c r="U2" s="1078" t="n"/>
    </row>
    <row r="3" ht="15" customFormat="1" customHeight="1" s="1073">
      <c r="A3" s="1082" t="inlineStr">
        <is>
          <t>Naam bier</t>
        </is>
      </c>
      <c r="B3" s="1083" t="n"/>
      <c r="C3" s="1084" t="n"/>
      <c r="D3" s="1075" t="n"/>
      <c r="E3" s="1075" t="n"/>
      <c r="F3" s="1075" t="n"/>
      <c r="G3" s="1075" t="n"/>
      <c r="H3" s="1085" t="inlineStr">
        <is>
          <t>Batch nr.:</t>
        </is>
      </c>
      <c r="I3" s="1075" t="n"/>
      <c r="J3" s="1076" t="n"/>
      <c r="K3" s="1086" t="n">
        <v>26225</v>
      </c>
      <c r="L3" s="1078" t="n"/>
      <c r="M3" s="1087" t="n"/>
      <c r="N3" s="1088" t="n"/>
      <c r="O3" s="1089" t="n"/>
      <c r="P3" s="1090" t="n"/>
      <c r="Q3" s="1091" t="n"/>
      <c r="R3" s="1092" t="n"/>
      <c r="S3" s="1078" t="n"/>
      <c r="T3" s="1078" t="n"/>
      <c r="U3" s="1078" t="n"/>
    </row>
    <row r="4" ht="15" customFormat="1" customHeight="1" s="1073">
      <c r="A4" s="1079" t="n"/>
      <c r="B4" s="1081" t="n"/>
      <c r="C4" s="1079" t="n"/>
      <c r="D4" s="1080" t="n"/>
      <c r="E4" s="1080" t="n"/>
      <c r="F4" s="1080" t="n"/>
      <c r="G4" s="1080" t="n"/>
      <c r="H4" s="1079" t="n"/>
      <c r="I4" s="1080" t="n"/>
      <c r="J4" s="1081" t="n"/>
      <c r="K4" s="1093" t="n"/>
      <c r="L4" s="1093" t="n"/>
      <c r="M4" s="1094" t="n"/>
      <c r="N4" s="1095" t="n"/>
      <c r="P4" s="1083" t="n"/>
      <c r="Q4" s="1091" t="n"/>
      <c r="R4" s="1078" t="n"/>
      <c r="S4" s="1078" t="n"/>
      <c r="T4" s="1078" t="n"/>
      <c r="U4" s="1078" t="n"/>
    </row>
    <row r="5" ht="15" customFormat="1" customHeight="1" s="1073">
      <c r="A5" s="1096" t="inlineStr">
        <is>
          <t>Naam Brouwerij</t>
        </is>
      </c>
      <c r="B5" s="1075" t="n"/>
      <c r="C5" s="1075" t="n"/>
      <c r="D5" s="1076" t="n"/>
      <c r="E5" s="1097">
        <f>IF(LEFT(Q1,2)="WP","Waarderpolder","Jopen Kerk")</f>
        <v/>
      </c>
      <c r="M5" s="1083" t="n"/>
      <c r="N5" s="1098" t="n"/>
      <c r="O5" s="1099" t="n"/>
      <c r="P5" s="1100" t="n"/>
      <c r="Q5" s="1091" t="n"/>
      <c r="R5" s="1078" t="n"/>
      <c r="S5" s="1078" t="n"/>
      <c r="T5" s="1078" t="n"/>
      <c r="U5" s="1078" t="n"/>
    </row>
    <row r="6" ht="15" customFormat="1" customHeight="1" s="1073">
      <c r="A6" s="1079" t="n"/>
      <c r="B6" s="1080" t="n"/>
      <c r="C6" s="1080" t="n"/>
      <c r="D6" s="1081" t="n"/>
      <c r="E6" s="1079" t="n"/>
      <c r="F6" s="1080" t="n"/>
      <c r="G6" s="1080" t="n"/>
      <c r="H6" s="1080" t="n"/>
      <c r="I6" s="1080" t="n"/>
      <c r="J6" s="1080" t="n"/>
      <c r="K6" s="1080" t="n"/>
      <c r="L6" s="1080" t="n"/>
      <c r="M6" s="1081" t="n"/>
      <c r="N6" s="1098" t="n"/>
      <c r="O6" s="1099" t="n"/>
      <c r="P6" s="1100" t="n"/>
      <c r="Q6" s="1091" t="n"/>
      <c r="R6" s="1078" t="n"/>
      <c r="S6" s="1078" t="n"/>
      <c r="T6" s="1078" t="n"/>
      <c r="U6" s="1078" t="n"/>
    </row>
    <row r="7" ht="15" customFormat="1" customHeight="1" s="1073">
      <c r="A7" s="1085" t="inlineStr">
        <is>
          <t>Bier stijl</t>
        </is>
      </c>
      <c r="B7" s="1076" t="n"/>
      <c r="C7" s="1101" t="n"/>
      <c r="D7" s="1076" t="n"/>
      <c r="E7" s="1102" t="inlineStr">
        <is>
          <t>Aantal brouwsels</t>
        </is>
      </c>
      <c r="F7" s="1076" t="n"/>
      <c r="G7" s="1103" t="n">
        <v>1</v>
      </c>
      <c r="H7" s="1104" t="inlineStr">
        <is>
          <t>Datum orderpicken:</t>
        </is>
      </c>
      <c r="I7" s="1075" t="n"/>
      <c r="J7" s="1076" t="n"/>
      <c r="K7" s="2209" t="inlineStr">
        <is>
          <t>-</t>
        </is>
      </c>
      <c r="L7" s="1106" t="n"/>
      <c r="M7" s="1107" t="n"/>
      <c r="N7" s="1098" t="n"/>
      <c r="O7" s="1099" t="n"/>
      <c r="P7" s="1100" t="n"/>
      <c r="Q7" s="1091" t="n"/>
      <c r="R7" s="1078" t="n"/>
      <c r="S7" s="1078" t="n"/>
      <c r="T7" s="1078" t="n"/>
      <c r="U7" s="1078" t="n"/>
    </row>
    <row r="8" ht="15" customFormat="1" customHeight="1" s="1073">
      <c r="A8" s="1079" t="n"/>
      <c r="B8" s="1081" t="n"/>
      <c r="C8" s="1079" t="n"/>
      <c r="D8" s="1081" t="n"/>
      <c r="E8" s="1079" t="n"/>
      <c r="F8" s="1081" t="n"/>
      <c r="G8" s="1094" t="n"/>
      <c r="H8" s="1079" t="n"/>
      <c r="I8" s="1080" t="n"/>
      <c r="J8" s="1081" t="n"/>
      <c r="K8" s="1108" t="n"/>
      <c r="L8" s="1093" t="n"/>
      <c r="M8" s="1094" t="n"/>
      <c r="N8" s="1098" t="n"/>
      <c r="O8" s="1099" t="n"/>
      <c r="P8" s="1100" t="n"/>
      <c r="Q8" s="1091" t="n"/>
      <c r="R8" s="1078" t="n"/>
      <c r="S8" s="1078" t="n"/>
      <c r="T8" s="1078" t="n"/>
      <c r="U8" s="1078" t="n"/>
    </row>
    <row r="9" ht="15" customFormat="1" customHeight="1" s="1073">
      <c r="A9" s="1109" t="inlineStr">
        <is>
          <t>Brouwsel (hl)</t>
        </is>
      </c>
      <c r="B9" s="1076" t="n"/>
      <c r="C9" s="1110" t="n"/>
      <c r="D9" s="1076" t="n"/>
      <c r="E9" s="1111">
        <f>IF(LEFT(Q1,2)="WP", "Kamers mashfilter","walsenmolen")</f>
        <v/>
      </c>
      <c r="F9" s="1075" t="n"/>
      <c r="G9" s="1075" t="n"/>
      <c r="H9" s="1075" t="n"/>
      <c r="I9" s="1075" t="n"/>
      <c r="J9" s="1076" t="n"/>
      <c r="K9" s="1112" t="n"/>
      <c r="L9" s="1075" t="n"/>
      <c r="M9" s="1075" t="n"/>
      <c r="N9" s="1098" t="n"/>
      <c r="O9" s="1099" t="n"/>
      <c r="P9" s="1100" t="n"/>
      <c r="Q9" s="1091" t="n"/>
      <c r="R9" s="1078" t="n"/>
      <c r="S9" s="1078" t="n"/>
      <c r="T9" s="1078" t="n"/>
      <c r="U9" s="1078" t="n"/>
    </row>
    <row r="10" ht="15" customFormat="1" customHeight="1" s="1073">
      <c r="A10" s="1113" t="inlineStr">
        <is>
          <t>Eindproduct specificaties</t>
        </is>
      </c>
      <c r="B10" s="1114" t="n"/>
      <c r="C10" s="1114" t="n"/>
      <c r="D10" s="1114" t="n"/>
      <c r="E10" s="1114" t="n"/>
      <c r="F10" s="1114" t="n"/>
      <c r="G10" s="1114" t="n"/>
      <c r="H10" s="1114" t="n"/>
      <c r="I10" s="1114" t="n"/>
      <c r="J10" s="1114" t="n"/>
      <c r="K10" s="1114" t="n"/>
      <c r="L10" s="1114" t="n"/>
      <c r="M10" s="1115" t="n"/>
      <c r="N10" s="1098" t="n"/>
      <c r="O10" s="1099" t="n"/>
      <c r="P10" s="1100" t="n"/>
      <c r="Q10" s="1091" t="n"/>
      <c r="R10" s="1078" t="n"/>
      <c r="S10" s="1078" t="n"/>
      <c r="T10" s="1078" t="n"/>
      <c r="U10" s="1078" t="n"/>
    </row>
    <row r="11" ht="15" customFormat="1" customHeight="1" s="1073">
      <c r="A11" s="1116" t="inlineStr">
        <is>
          <t>Parameter</t>
        </is>
      </c>
      <c r="B11" s="1114" t="n"/>
      <c r="C11" s="1115" t="n"/>
      <c r="D11" s="1117" t="inlineStr">
        <is>
          <t>Unit</t>
        </is>
      </c>
      <c r="E11" s="1117" t="inlineStr">
        <is>
          <t>+/-</t>
        </is>
      </c>
      <c r="F11" s="1118" t="inlineStr">
        <is>
          <t>Spec,</t>
        </is>
      </c>
      <c r="G11" s="1116" t="inlineStr">
        <is>
          <t>Parameter</t>
        </is>
      </c>
      <c r="H11" s="1114" t="n"/>
      <c r="I11" s="1114" t="n"/>
      <c r="J11" s="1115" t="n"/>
      <c r="K11" s="1117" t="inlineStr">
        <is>
          <t>Unit</t>
        </is>
      </c>
      <c r="L11" s="1117" t="inlineStr">
        <is>
          <t>+/-</t>
        </is>
      </c>
      <c r="M11" s="1117" t="inlineStr">
        <is>
          <t>Spec,</t>
        </is>
      </c>
      <c r="N11" s="1098" t="n"/>
      <c r="O11" s="1099" t="n"/>
      <c r="P11" s="1100" t="n"/>
      <c r="Q11" s="1091" t="n"/>
      <c r="R11" s="1078" t="n"/>
      <c r="S11" s="1078" t="n"/>
      <c r="T11" s="1078" t="n"/>
      <c r="U11" s="1078" t="n"/>
    </row>
    <row r="12" ht="15" customFormat="1" customHeight="1" s="1073">
      <c r="A12" s="1119" t="inlineStr">
        <is>
          <t>Origineel extract</t>
        </is>
      </c>
      <c r="B12" s="1075" t="n"/>
      <c r="C12" s="1076" t="n"/>
      <c r="D12" s="1120" t="inlineStr">
        <is>
          <t>°P</t>
        </is>
      </c>
      <c r="E12" s="1121" t="n"/>
      <c r="F12" s="1122" t="n"/>
      <c r="G12" s="1123" t="inlineStr">
        <is>
          <t>Troebeling (Lab)</t>
        </is>
      </c>
      <c r="H12" s="1075" t="n"/>
      <c r="I12" s="1075" t="n"/>
      <c r="J12" s="1076" t="n"/>
      <c r="K12" s="1120" t="inlineStr">
        <is>
          <t>EBC</t>
        </is>
      </c>
      <c r="L12" s="1121" t="n"/>
      <c r="M12" s="1124" t="n"/>
      <c r="N12" s="1098" t="n"/>
      <c r="O12" s="1099" t="n"/>
      <c r="P12" s="1100" t="n"/>
      <c r="Q12" s="1091" t="n"/>
      <c r="R12" s="1078" t="n"/>
      <c r="S12" s="1078" t="n"/>
      <c r="T12" s="1078" t="n"/>
      <c r="U12" s="1078" t="n"/>
    </row>
    <row r="13" ht="15" customFormat="1" customHeight="1" s="1073">
      <c r="A13" s="1125" t="inlineStr">
        <is>
          <t>Rest extract</t>
        </is>
      </c>
      <c r="C13" s="1083" t="n"/>
      <c r="D13" s="1126" t="inlineStr">
        <is>
          <t>°P</t>
        </is>
      </c>
      <c r="E13" s="1121" t="n"/>
      <c r="F13" s="1127" t="n"/>
      <c r="G13" s="1128" t="inlineStr">
        <is>
          <t>CO2 fles</t>
        </is>
      </c>
      <c r="J13" s="1083" t="n"/>
      <c r="K13" s="1126" t="inlineStr">
        <is>
          <t>g/l</t>
        </is>
      </c>
      <c r="L13" s="1121" t="n"/>
      <c r="M13" s="1127" t="n"/>
      <c r="N13" s="1098" t="n"/>
      <c r="O13" s="1099" t="n"/>
      <c r="P13" s="1100" t="n"/>
      <c r="Q13" s="1091" t="n"/>
      <c r="R13" s="1078" t="n"/>
      <c r="S13" s="1078" t="n"/>
      <c r="T13" s="1078" t="n"/>
      <c r="U13" s="1078" t="n"/>
    </row>
    <row r="14" ht="15" customFormat="1" customHeight="1" s="1073">
      <c r="A14" s="1125" t="inlineStr">
        <is>
          <t>Alcohol</t>
        </is>
      </c>
      <c r="C14" s="1083" t="n"/>
      <c r="D14" s="1126" t="inlineStr">
        <is>
          <t>v/v%</t>
        </is>
      </c>
      <c r="E14" s="1121" t="n"/>
      <c r="F14" s="1127" t="n"/>
      <c r="G14" s="1128" t="inlineStr">
        <is>
          <t>CO2 Can</t>
        </is>
      </c>
      <c r="J14" s="1083" t="n"/>
      <c r="K14" s="1126" t="inlineStr">
        <is>
          <t>g/l</t>
        </is>
      </c>
      <c r="L14" s="1121" t="n"/>
      <c r="M14" s="1129" t="n"/>
      <c r="N14" s="1098" t="n"/>
      <c r="O14" s="1099" t="n"/>
      <c r="P14" s="1100" t="n"/>
      <c r="Q14" s="1091" t="n"/>
      <c r="R14" s="1078" t="n"/>
      <c r="S14" s="1078" t="n"/>
      <c r="T14" s="1078" t="n"/>
      <c r="U14" s="1078" t="n"/>
    </row>
    <row r="15" ht="15" customFormat="1" customHeight="1" s="1130">
      <c r="A15" s="1125" t="inlineStr">
        <is>
          <t>Bitterheid</t>
        </is>
      </c>
      <c r="C15" s="1083" t="n"/>
      <c r="D15" s="1126" t="inlineStr">
        <is>
          <t>EBU</t>
        </is>
      </c>
      <c r="E15" s="1121" t="n"/>
      <c r="F15" s="1131" t="n"/>
      <c r="G15" s="1128" t="inlineStr">
        <is>
          <t>CO2 fust</t>
        </is>
      </c>
      <c r="J15" s="1083" t="n"/>
      <c r="K15" s="1126" t="inlineStr">
        <is>
          <t>g/l</t>
        </is>
      </c>
      <c r="L15" s="1121" t="n"/>
      <c r="M15" s="1129" t="n"/>
      <c r="N15" s="1098" t="n"/>
      <c r="O15" s="1099" t="n"/>
      <c r="P15" s="1100" t="n"/>
      <c r="Q15" s="1091" t="n"/>
      <c r="R15" s="1132" t="n"/>
      <c r="S15" s="1133" t="n"/>
      <c r="T15" s="1134" t="n"/>
      <c r="U15" s="1135" t="n"/>
    </row>
    <row r="16" ht="15" customFormat="1" customHeight="1" s="1130">
      <c r="A16" s="1125" t="inlineStr">
        <is>
          <t>Kleur</t>
        </is>
      </c>
      <c r="C16" s="1083" t="n"/>
      <c r="D16" s="1126" t="inlineStr">
        <is>
          <t>EBC</t>
        </is>
      </c>
      <c r="E16" s="1121" t="n"/>
      <c r="F16" s="1131" t="n"/>
      <c r="G16" s="1136" t="inlineStr">
        <is>
          <t>Headspace O2</t>
        </is>
      </c>
      <c r="H16" s="1136" t="n"/>
      <c r="I16" s="1136" t="n"/>
      <c r="J16" s="1128" t="n"/>
      <c r="K16" s="1126" t="inlineStr">
        <is>
          <t>ppb</t>
        </is>
      </c>
      <c r="L16" s="1121" t="n"/>
      <c r="M16" s="1129" t="n"/>
      <c r="N16" s="1137" t="inlineStr">
        <is>
          <t>Bier risico</t>
        </is>
      </c>
      <c r="O16" s="1114" t="n"/>
      <c r="P16" s="1115" t="n"/>
      <c r="Q16" s="1138" t="n"/>
      <c r="R16" s="1139" t="n"/>
      <c r="S16" s="1140" t="n"/>
      <c r="T16" s="1133" t="n"/>
      <c r="U16" s="1141" t="n"/>
    </row>
    <row r="17" ht="15" customFormat="1" customHeight="1" s="1130">
      <c r="A17" s="1125" t="inlineStr">
        <is>
          <t>pH</t>
        </is>
      </c>
      <c r="C17" s="1083" t="n"/>
      <c r="D17" s="1126" t="n"/>
      <c r="E17" s="1121" t="n"/>
      <c r="F17" s="1127" t="n"/>
      <c r="G17" s="1136" t="inlineStr">
        <is>
          <t>Dissolved O2</t>
        </is>
      </c>
      <c r="H17" s="1136" t="n"/>
      <c r="I17" s="1136" t="n"/>
      <c r="J17" s="1128" t="n"/>
      <c r="K17" s="1126" t="inlineStr">
        <is>
          <t>ppb</t>
        </is>
      </c>
      <c r="L17" s="1121" t="n"/>
      <c r="M17" s="1129" t="n"/>
      <c r="N17" s="1142" t="n"/>
      <c r="O17" s="1106" t="n"/>
      <c r="P17" s="1107" t="n"/>
      <c r="Q17" s="1138" t="n"/>
      <c r="R17" s="1139" t="n"/>
      <c r="S17" s="1140" t="n"/>
      <c r="T17" s="1133" t="n"/>
      <c r="U17" s="1141" t="n"/>
    </row>
    <row r="18" ht="15" customFormat="1" customHeight="1" s="1130">
      <c r="A18" s="1125" t="inlineStr">
        <is>
          <t>ADF %</t>
        </is>
      </c>
      <c r="C18" s="1083" t="n"/>
      <c r="D18" s="1126" t="n"/>
      <c r="E18" s="1121" t="n"/>
      <c r="F18" s="1143" t="n"/>
      <c r="G18" s="1136" t="n"/>
      <c r="H18" s="1136" t="n"/>
      <c r="I18" s="1136" t="n"/>
      <c r="J18" s="1144" t="n"/>
      <c r="K18" s="1145" t="n"/>
      <c r="L18" s="1121" t="n"/>
      <c r="M18" s="1146" t="n"/>
      <c r="N18" s="1147" t="n"/>
      <c r="O18" s="1078" t="n"/>
      <c r="P18" s="1087" t="n"/>
      <c r="Q18" s="1138" t="n"/>
      <c r="R18" s="1139" t="n"/>
      <c r="S18" s="1140" t="n"/>
      <c r="T18" s="1133" t="n"/>
      <c r="U18" s="1141" t="n"/>
    </row>
    <row r="19" ht="15" customFormat="1" customHeight="1" s="1130">
      <c r="A19" s="1148" t="inlineStr">
        <is>
          <t>Process paramaters</t>
        </is>
      </c>
      <c r="B19" s="1114" t="n"/>
      <c r="C19" s="1114" t="n"/>
      <c r="D19" s="1114" t="n"/>
      <c r="E19" s="1114" t="n"/>
      <c r="F19" s="1114" t="n"/>
      <c r="G19" s="1114" t="n"/>
      <c r="H19" s="1114" t="n"/>
      <c r="I19" s="1114" t="n"/>
      <c r="J19" s="1114" t="n"/>
      <c r="K19" s="1114" t="n"/>
      <c r="L19" s="1114" t="n"/>
      <c r="M19" s="1115" t="n"/>
      <c r="N19" s="1147" t="n"/>
      <c r="O19" s="1078" t="n"/>
      <c r="P19" s="1087" t="n"/>
      <c r="Q19" s="1138" t="n"/>
      <c r="R19" s="1139" t="n"/>
      <c r="S19" s="1140" t="n"/>
      <c r="T19" s="1133" t="n"/>
      <c r="U19" s="1141" t="n"/>
    </row>
    <row r="20" ht="15" customFormat="1" customHeight="1" s="1130">
      <c r="A20" s="1116" t="inlineStr">
        <is>
          <t>Parameter</t>
        </is>
      </c>
      <c r="B20" s="1114" t="n"/>
      <c r="C20" s="1115" t="n"/>
      <c r="D20" s="1117" t="inlineStr">
        <is>
          <t>Unit</t>
        </is>
      </c>
      <c r="E20" s="1117" t="inlineStr">
        <is>
          <t>+/-</t>
        </is>
      </c>
      <c r="F20" s="1117" t="inlineStr">
        <is>
          <t>Spec,</t>
        </is>
      </c>
      <c r="G20" s="1149" t="inlineStr">
        <is>
          <t>Parameter</t>
        </is>
      </c>
      <c r="H20" s="1075" t="n"/>
      <c r="I20" s="1075" t="n"/>
      <c r="J20" s="1076" t="n"/>
      <c r="K20" s="1118" t="inlineStr">
        <is>
          <t>Unit</t>
        </is>
      </c>
      <c r="L20" s="1117" t="inlineStr">
        <is>
          <t>+/-</t>
        </is>
      </c>
      <c r="M20" s="1118" t="inlineStr">
        <is>
          <t>Spec,</t>
        </is>
      </c>
      <c r="N20" s="1108" t="n"/>
      <c r="O20" s="1093" t="n"/>
      <c r="P20" s="1094" t="n"/>
      <c r="Q20" s="1138" t="n"/>
      <c r="R20" s="1139" t="n"/>
      <c r="S20" s="1150" t="n"/>
      <c r="T20" s="1133" t="n"/>
      <c r="U20" s="1141" t="n"/>
    </row>
    <row r="21" ht="15" customFormat="1" customHeight="1" s="1130">
      <c r="A21" s="1119">
        <f>IF(LEFT(Q1,2)="WP", "Pitching Temp,","Wort koeling temp,")</f>
        <v/>
      </c>
      <c r="B21" s="1075" t="n"/>
      <c r="C21" s="1076" t="n"/>
      <c r="D21" s="1120" t="inlineStr">
        <is>
          <t>°C</t>
        </is>
      </c>
      <c r="E21" s="1121" t="n"/>
      <c r="F21" s="1122" t="n"/>
      <c r="G21" s="1123" t="inlineStr">
        <is>
          <t>Vergistingstijd</t>
        </is>
      </c>
      <c r="H21" s="1075" t="n"/>
      <c r="I21" s="1075" t="n"/>
      <c r="J21" s="1076" t="n"/>
      <c r="K21" s="1120" t="inlineStr">
        <is>
          <t>dagen</t>
        </is>
      </c>
      <c r="L21" s="1151" t="n"/>
      <c r="M21" s="1124" t="n"/>
      <c r="N21" s="1137" t="inlineStr">
        <is>
          <t>Bier status</t>
        </is>
      </c>
      <c r="O21" s="1114" t="n"/>
      <c r="P21" s="1115" t="n"/>
      <c r="Q21" s="1138" t="n"/>
      <c r="R21" s="1152" t="n"/>
      <c r="S21" s="1133" t="n"/>
      <c r="T21" s="1133" t="n"/>
      <c r="U21" s="1141" t="n"/>
    </row>
    <row r="22" ht="15" customFormat="1" customHeight="1" s="1130">
      <c r="A22" s="1153" t="inlineStr">
        <is>
          <t xml:space="preserve">Main Fermentation </t>
        </is>
      </c>
      <c r="D22" s="1126" t="inlineStr">
        <is>
          <t>°C</t>
        </is>
      </c>
      <c r="E22" s="1121" t="n"/>
      <c r="F22" s="1127" t="n"/>
      <c r="G22" s="1136" t="inlineStr">
        <is>
          <t>Lagertijd</t>
        </is>
      </c>
      <c r="H22" s="1136" t="n"/>
      <c r="I22" s="1136" t="n"/>
      <c r="J22" s="1128" t="n"/>
      <c r="K22" s="1126" t="inlineStr">
        <is>
          <t>dagen</t>
        </is>
      </c>
      <c r="L22" s="1151" t="n"/>
      <c r="M22" s="1129" t="n"/>
      <c r="N22" s="1154" t="n"/>
      <c r="O22" s="1155" t="n"/>
      <c r="P22" s="1156" t="n"/>
      <c r="Q22" s="1138" t="n"/>
      <c r="R22" s="1152" t="n"/>
      <c r="S22" s="1139" t="n"/>
      <c r="T22" s="1139" t="n"/>
      <c r="U22" s="1157" t="n"/>
    </row>
    <row r="23" ht="15" customFormat="1" customHeight="1" s="1130">
      <c r="A23" s="1125" t="inlineStr">
        <is>
          <t>T release,</t>
        </is>
      </c>
      <c r="C23" s="1083" t="n"/>
      <c r="D23" s="1126" t="inlineStr">
        <is>
          <t>°C</t>
        </is>
      </c>
      <c r="E23" s="1151" t="n"/>
      <c r="F23" s="1127" t="n"/>
      <c r="G23" s="1136" t="inlineStr">
        <is>
          <t>Lager temp,</t>
        </is>
      </c>
      <c r="H23" s="1136" t="n"/>
      <c r="I23" s="1136" t="n"/>
      <c r="J23" s="1128" t="n"/>
      <c r="K23" s="1126" t="inlineStr">
        <is>
          <t>°C</t>
        </is>
      </c>
      <c r="L23" s="1151" t="n"/>
      <c r="M23" s="1129" t="n"/>
      <c r="N23" s="1158" t="n"/>
      <c r="O23" s="1075" t="n"/>
      <c r="P23" s="1076" t="n"/>
      <c r="Q23" s="1138" t="n"/>
      <c r="R23" s="1139" t="n"/>
      <c r="S23" s="1139" t="n"/>
      <c r="T23" s="1139" t="n"/>
      <c r="U23" s="1157" t="n"/>
    </row>
    <row r="24" ht="15.75" customFormat="1" customHeight="1" s="1159">
      <c r="A24" s="1125" t="inlineStr">
        <is>
          <t>Temp, Dry, Warm,</t>
        </is>
      </c>
      <c r="C24" s="1083" t="n"/>
      <c r="D24" s="1126" t="inlineStr">
        <is>
          <t>°C</t>
        </is>
      </c>
      <c r="E24" s="1121" t="n"/>
      <c r="F24" s="1127" t="n"/>
      <c r="G24" s="1136" t="inlineStr">
        <is>
          <t>Pasteurisatie</t>
        </is>
      </c>
      <c r="H24" s="1136" t="n"/>
      <c r="I24" s="1136" t="n"/>
      <c r="J24" s="1128" t="n"/>
      <c r="K24" s="1126" t="inlineStr">
        <is>
          <t>PU</t>
        </is>
      </c>
      <c r="L24" s="1151" t="n"/>
      <c r="M24" s="1129" t="n"/>
      <c r="N24" s="1160" t="n"/>
      <c r="P24" s="1083" t="n"/>
      <c r="Q24" s="1138" t="n"/>
      <c r="R24" s="1152" t="n"/>
      <c r="S24" s="1161" t="n"/>
      <c r="T24" s="1139" t="n"/>
      <c r="U24" s="1157" t="n"/>
    </row>
    <row r="25" ht="15" customFormat="1" customHeight="1" s="1159">
      <c r="A25" s="1125" t="inlineStr">
        <is>
          <t>Extract dry, Warm 1</t>
        </is>
      </c>
      <c r="C25" s="1083" t="n"/>
      <c r="D25" s="1126" t="inlineStr">
        <is>
          <t>°P</t>
        </is>
      </c>
      <c r="E25" s="1121" t="n"/>
      <c r="F25" s="1127" t="n"/>
      <c r="G25" s="1128" t="inlineStr">
        <is>
          <t>Troebeling na Sep</t>
        </is>
      </c>
      <c r="J25" s="1083" t="n"/>
      <c r="K25" s="1126" t="inlineStr">
        <is>
          <t>EBC</t>
        </is>
      </c>
      <c r="L25" s="1151" t="n"/>
      <c r="M25" s="1129" t="n"/>
      <c r="N25" s="1160" t="n"/>
      <c r="P25" s="1083" t="n"/>
      <c r="Q25" s="1138" t="n"/>
      <c r="R25" s="1139" t="n"/>
      <c r="S25" s="1132" t="n"/>
      <c r="T25" s="1139" t="n"/>
      <c r="U25" s="1157" t="n"/>
    </row>
    <row r="26" ht="15" customFormat="1" customHeight="1" s="1159">
      <c r="A26" s="1125" t="inlineStr">
        <is>
          <t>Extract dry, Warm 2</t>
        </is>
      </c>
      <c r="C26" s="1083" t="n"/>
      <c r="D26" s="1126" t="inlineStr">
        <is>
          <t>°P</t>
        </is>
      </c>
      <c r="E26" s="1121" t="n"/>
      <c r="F26" s="1127" t="n"/>
      <c r="G26" s="1128" t="inlineStr">
        <is>
          <t>Bitterheid BH</t>
        </is>
      </c>
      <c r="J26" s="1083" t="n"/>
      <c r="K26" s="1126" t="inlineStr">
        <is>
          <t xml:space="preserve">EBU </t>
        </is>
      </c>
      <c r="L26" s="1151" t="n"/>
      <c r="M26" s="1162" t="n"/>
      <c r="N26" s="1099" t="n"/>
      <c r="O26" s="1099" t="n"/>
      <c r="P26" s="1100" t="n"/>
      <c r="Q26" s="1138" t="n"/>
      <c r="R26" s="1139" t="n"/>
      <c r="S26" s="1139" t="n"/>
      <c r="T26" s="1139" t="n"/>
      <c r="U26" s="1157" t="n"/>
    </row>
    <row r="27" ht="15" customFormat="1" customHeight="1" s="1159">
      <c r="A27" s="1163" t="inlineStr">
        <is>
          <t>Extract dry, Warm 3</t>
        </is>
      </c>
      <c r="B27" s="1080" t="n"/>
      <c r="C27" s="1081" t="n"/>
      <c r="D27" s="1164" t="inlineStr">
        <is>
          <t>°P</t>
        </is>
      </c>
      <c r="E27" s="1121" t="n"/>
      <c r="F27" s="1127" t="n"/>
      <c r="G27" s="1144" t="n"/>
      <c r="H27" s="1080" t="n"/>
      <c r="I27" s="1080" t="n"/>
      <c r="J27" s="1081" t="n"/>
      <c r="K27" s="1164" t="n"/>
      <c r="L27" s="1165" t="n"/>
      <c r="M27" s="1166" t="n"/>
      <c r="N27" s="1167" t="n"/>
      <c r="O27" s="1168" t="n"/>
      <c r="P27" s="1169" t="n"/>
      <c r="Q27" s="1138" t="n"/>
      <c r="R27" s="1152" t="n"/>
      <c r="S27" s="1139" t="n"/>
      <c r="T27" s="1157" t="n"/>
      <c r="U27" s="1157" t="n"/>
    </row>
    <row r="28" ht="18.75" customFormat="1" customHeight="1" s="1159">
      <c r="A28" s="1170" t="inlineStr">
        <is>
          <t>Malts and grains</t>
        </is>
      </c>
      <c r="B28" s="1080" t="n"/>
      <c r="C28" s="1080" t="n"/>
      <c r="D28" s="1080" t="n"/>
      <c r="E28" s="1080" t="n"/>
      <c r="F28" s="1080" t="n"/>
      <c r="G28" s="1080" t="n"/>
      <c r="H28" s="1080" t="n"/>
      <c r="I28" s="1080" t="n"/>
      <c r="J28" s="1080" t="n"/>
      <c r="K28" s="1080" t="n"/>
      <c r="L28" s="1080" t="n"/>
      <c r="M28" s="1080" t="n"/>
      <c r="N28" s="1080" t="n"/>
      <c r="O28" s="1080" t="n"/>
      <c r="P28" s="1081" t="n"/>
      <c r="Q28" s="1138" t="n"/>
      <c r="R28" s="1152" t="n"/>
      <c r="S28" s="1139" t="n"/>
      <c r="T28" s="1157" t="n"/>
      <c r="U28" s="1141" t="n"/>
    </row>
    <row r="29" ht="15.75" customFormat="1" customHeight="1" s="1159">
      <c r="A29" s="1171" t="inlineStr">
        <is>
          <t>Soort</t>
        </is>
      </c>
      <c r="B29" s="1114" t="n"/>
      <c r="C29" s="1115" t="n"/>
      <c r="D29" s="1172" t="inlineStr">
        <is>
          <t>KG</t>
        </is>
      </c>
      <c r="E29" s="1173" t="inlineStr">
        <is>
          <t>EBC</t>
        </is>
      </c>
      <c r="F29" s="1173" t="inlineStr">
        <is>
          <t>TOT</t>
        </is>
      </c>
      <c r="G29" s="1171" t="inlineStr">
        <is>
          <t>%</t>
        </is>
      </c>
      <c r="H29" s="1115" t="n"/>
      <c r="I29" s="1171" t="inlineStr">
        <is>
          <t>Lotnummer</t>
        </is>
      </c>
      <c r="J29" s="1114" t="n"/>
      <c r="K29" s="1114" t="n"/>
      <c r="L29" s="1114" t="n"/>
      <c r="M29" s="1114" t="n"/>
      <c r="N29" s="1114" t="n"/>
      <c r="O29" s="1115" t="n"/>
      <c r="P29" s="1082" t="inlineStr">
        <is>
          <t>Totaal kg:</t>
        </is>
      </c>
      <c r="Q29" s="1138" t="n"/>
      <c r="R29" s="1139" t="n"/>
      <c r="S29" s="1174" t="n"/>
      <c r="T29" s="1157" t="n"/>
      <c r="U29" s="1141" t="n"/>
    </row>
    <row r="30" ht="15" customFormat="1" customHeight="1" s="1175">
      <c r="A30" s="1176" t="n"/>
      <c r="B30" s="1177" t="n"/>
      <c r="C30" s="1178" t="n"/>
      <c r="D30" s="1179" t="n"/>
      <c r="E30" s="1180" t="n"/>
      <c r="F30" s="1181">
        <f>IF(D30="-","",(D30*E30*0.08)/$C$9)</f>
        <v/>
      </c>
      <c r="G30" s="1182">
        <f>IF(D30="-","",D30/($D$40/100))</f>
        <v/>
      </c>
      <c r="H30" s="1183" t="inlineStr">
        <is>
          <t>%</t>
        </is>
      </c>
      <c r="I30" s="1184" t="n"/>
      <c r="J30" s="1177" t="n"/>
      <c r="K30" s="1177" t="n"/>
      <c r="L30" s="1177" t="n"/>
      <c r="M30" s="1177" t="n"/>
      <c r="N30" s="1177" t="n"/>
      <c r="O30" s="1178" t="n"/>
      <c r="P30" s="1185">
        <f>IF(D30="-","",D30*$G$7)</f>
        <v/>
      </c>
      <c r="Q30" s="1186" t="n"/>
      <c r="R30" s="1139" t="n"/>
      <c r="S30" s="1139" t="n"/>
      <c r="T30" s="1187" t="n"/>
      <c r="U30" s="1188" t="n"/>
    </row>
    <row r="31" ht="15" customFormat="1" customHeight="1" s="1175">
      <c r="A31" s="1176" t="n"/>
      <c r="B31" s="1177" t="n"/>
      <c r="C31" s="1178" t="n"/>
      <c r="D31" s="1189" t="n"/>
      <c r="E31" s="1180" t="n"/>
      <c r="F31" s="1181">
        <f>IF(D31="-","",(D31*E31*0.08)/$C$9)</f>
        <v/>
      </c>
      <c r="G31" s="1190">
        <f>IF(D31="-","",D31/($D$40/100))</f>
        <v/>
      </c>
      <c r="H31" s="1191" t="inlineStr">
        <is>
          <t>%</t>
        </is>
      </c>
      <c r="I31" s="1184" t="n"/>
      <c r="J31" s="1177" t="n"/>
      <c r="K31" s="1177" t="n"/>
      <c r="L31" s="1177" t="n"/>
      <c r="M31" s="1177" t="n"/>
      <c r="N31" s="1177" t="n"/>
      <c r="O31" s="1178" t="n"/>
      <c r="P31" s="1185">
        <f>IF(D31="-","",D31*$G$7)</f>
        <v/>
      </c>
      <c r="Q31" s="1186" t="n"/>
      <c r="R31" s="1139" t="n"/>
      <c r="S31" s="1139" t="n"/>
      <c r="T31" s="1139" t="n"/>
      <c r="U31" s="1188" t="n"/>
    </row>
    <row r="32" ht="15" customFormat="1" customHeight="1" s="1175">
      <c r="A32" s="1176" t="n"/>
      <c r="B32" s="1177" t="n"/>
      <c r="C32" s="1178" t="n"/>
      <c r="D32" s="1189" t="n"/>
      <c r="E32" s="1180" t="n"/>
      <c r="F32" s="1181">
        <f>IF(D32="-","",(D32*E32*0.08)/$C$9)</f>
        <v/>
      </c>
      <c r="G32" s="1192">
        <f>IF(D32="-","",D32/($D$40/100))</f>
        <v/>
      </c>
      <c r="H32" s="1193" t="inlineStr">
        <is>
          <t>%</t>
        </is>
      </c>
      <c r="I32" s="1184" t="n"/>
      <c r="J32" s="1177" t="n"/>
      <c r="K32" s="1177" t="n"/>
      <c r="L32" s="1177" t="n"/>
      <c r="M32" s="1177" t="n"/>
      <c r="N32" s="1177" t="n"/>
      <c r="O32" s="1178" t="n"/>
      <c r="P32" s="1185">
        <f>IF(D32="-","",D32*$G$7)</f>
        <v/>
      </c>
      <c r="Q32" s="1186" t="n"/>
      <c r="R32" s="1139" t="n"/>
      <c r="S32" s="1139" t="n"/>
      <c r="T32" s="1139" t="n"/>
      <c r="U32" s="1188" t="n"/>
    </row>
    <row r="33" ht="15" customFormat="1" customHeight="1" s="1175">
      <c r="A33" s="1176" t="n"/>
      <c r="B33" s="1177" t="n"/>
      <c r="C33" s="1178" t="n"/>
      <c r="D33" s="1189" t="n"/>
      <c r="E33" s="1180" t="n"/>
      <c r="F33" s="1181">
        <f>IF(D33="-","",(D33*E33*0.08)/$C$9)</f>
        <v/>
      </c>
      <c r="G33" s="1192">
        <f>IF(D33="-","",D33/($D$40/100))</f>
        <v/>
      </c>
      <c r="H33" s="1193" t="inlineStr">
        <is>
          <t>%</t>
        </is>
      </c>
      <c r="I33" s="1184" t="n"/>
      <c r="J33" s="1177" t="n"/>
      <c r="K33" s="1177" t="n"/>
      <c r="L33" s="1177" t="n"/>
      <c r="M33" s="1177" t="n"/>
      <c r="N33" s="1177" t="n"/>
      <c r="O33" s="1178" t="n"/>
      <c r="P33" s="1185">
        <f>IF(D33="-","",D33*$G$7)</f>
        <v/>
      </c>
      <c r="Q33" s="1186" t="n"/>
      <c r="R33" s="1139" t="n"/>
      <c r="S33" s="1139" t="n"/>
      <c r="T33" s="1139" t="n"/>
      <c r="U33" s="1188" t="n"/>
    </row>
    <row r="34" ht="15" customFormat="1" customHeight="1" s="1175">
      <c r="A34" s="1176" t="n"/>
      <c r="B34" s="1177" t="n"/>
      <c r="C34" s="1178" t="n"/>
      <c r="D34" s="1189" t="n"/>
      <c r="E34" s="1180" t="n"/>
      <c r="F34" s="1181">
        <f>IF(D34="-","",(D34*E34*0.08)/$C$9)</f>
        <v/>
      </c>
      <c r="G34" s="1192">
        <f>IF(D34="-","",D34/($D$40/100))</f>
        <v/>
      </c>
      <c r="H34" s="1193" t="inlineStr">
        <is>
          <t>%</t>
        </is>
      </c>
      <c r="I34" s="1184" t="n"/>
      <c r="J34" s="1177" t="n"/>
      <c r="K34" s="1177" t="n"/>
      <c r="L34" s="1177" t="n"/>
      <c r="M34" s="1177" t="n"/>
      <c r="N34" s="1177" t="n"/>
      <c r="O34" s="1178" t="n"/>
      <c r="P34" s="1185">
        <f>IF(D34="-","",D34*$G$7)</f>
        <v/>
      </c>
      <c r="Q34" s="1186" t="n"/>
      <c r="R34" s="1139" t="n"/>
      <c r="S34" s="1139" t="n"/>
      <c r="T34" s="1139" t="n"/>
      <c r="U34" s="1188" t="n"/>
    </row>
    <row r="35" ht="15" customFormat="1" customHeight="1" s="1175">
      <c r="A35" s="1176" t="n"/>
      <c r="B35" s="1177" t="n"/>
      <c r="C35" s="1178" t="n"/>
      <c r="D35" s="1194" t="n"/>
      <c r="E35" s="1180" t="n"/>
      <c r="F35" s="1181">
        <f>IF(D35="-","",(D35*E35*0.08)/$C$9)</f>
        <v/>
      </c>
      <c r="G35" s="1192">
        <f>IF(D35="-","",D35/($D$40/100))</f>
        <v/>
      </c>
      <c r="H35" s="1193" t="inlineStr">
        <is>
          <t>%</t>
        </is>
      </c>
      <c r="I35" s="1184" t="n"/>
      <c r="J35" s="1177" t="n"/>
      <c r="K35" s="1177" t="n"/>
      <c r="L35" s="1177" t="n"/>
      <c r="M35" s="1177" t="n"/>
      <c r="N35" s="1177" t="n"/>
      <c r="O35" s="1178" t="n"/>
      <c r="P35" s="1185">
        <f>IF(D35="-","",D35*$G$7)</f>
        <v/>
      </c>
      <c r="Q35" s="1186" t="n"/>
      <c r="R35" s="1139" t="n"/>
      <c r="S35" s="1139" t="n"/>
      <c r="T35" s="1139" t="n"/>
      <c r="U35" s="1188" t="n"/>
    </row>
    <row r="36" ht="15" customFormat="1" customHeight="1" s="1175">
      <c r="A36" s="1195" t="n"/>
      <c r="B36" s="1177" t="n"/>
      <c r="C36" s="1178" t="n"/>
      <c r="D36" s="1194" t="n"/>
      <c r="E36" s="1180" t="n"/>
      <c r="F36" s="1181">
        <f>IF(D36="-","",(D36*E36*0.08)/$C$9)</f>
        <v/>
      </c>
      <c r="G36" s="1180">
        <f>IF(D36="-","",D36/($D$40/100))</f>
        <v/>
      </c>
      <c r="H36" s="1196" t="inlineStr">
        <is>
          <t>%</t>
        </is>
      </c>
      <c r="I36" s="1184" t="n"/>
      <c r="J36" s="1177" t="n"/>
      <c r="K36" s="1177" t="n"/>
      <c r="L36" s="1177" t="n"/>
      <c r="M36" s="1177" t="n"/>
      <c r="N36" s="1177" t="n"/>
      <c r="O36" s="1178" t="n"/>
      <c r="P36" s="1185">
        <f>IF(D36="-","",D36*$G$7)</f>
        <v/>
      </c>
      <c r="Q36" s="1186" t="n"/>
      <c r="R36" s="1139" t="n"/>
      <c r="S36" s="1139" t="n"/>
      <c r="T36" s="1139" t="n"/>
      <c r="U36" s="1188" t="n"/>
    </row>
    <row r="37" ht="15" customFormat="1" customHeight="1" s="1175">
      <c r="A37" s="1195" t="n"/>
      <c r="B37" s="1177" t="n"/>
      <c r="C37" s="1178" t="n"/>
      <c r="D37" s="1194" t="n"/>
      <c r="E37" s="1180" t="n"/>
      <c r="F37" s="1181">
        <f>IF(D37="-","",(D37*E37*0.08)/$C$9)</f>
        <v/>
      </c>
      <c r="G37" s="1180">
        <f>IF(D37="-","",D37/($D$40/100))</f>
        <v/>
      </c>
      <c r="H37" s="1196" t="inlineStr">
        <is>
          <t>%</t>
        </is>
      </c>
      <c r="I37" s="1184" t="n"/>
      <c r="J37" s="1177" t="n"/>
      <c r="K37" s="1177" t="n"/>
      <c r="L37" s="1177" t="n"/>
      <c r="M37" s="1177" t="n"/>
      <c r="N37" s="1177" t="n"/>
      <c r="O37" s="1178" t="n"/>
      <c r="P37" s="1185">
        <f>IF(D37="-","",D37*$G$7)</f>
        <v/>
      </c>
      <c r="Q37" s="1186" t="n"/>
      <c r="R37" s="1139" t="n"/>
      <c r="S37" s="1139" t="n"/>
      <c r="T37" s="1139" t="n"/>
      <c r="U37" s="1188" t="n"/>
    </row>
    <row r="38" ht="15" customFormat="1" customHeight="1" s="1175">
      <c r="A38" s="1195" t="n"/>
      <c r="B38" s="1177" t="n"/>
      <c r="C38" s="1178" t="n"/>
      <c r="D38" s="1194" t="n"/>
      <c r="E38" s="1180" t="n"/>
      <c r="F38" s="1181">
        <f>IF(D38="-","",(D38*E38*0.08)/$C$9)</f>
        <v/>
      </c>
      <c r="G38" s="1180">
        <f>IF(D38="-","",D38/($D$40/100))</f>
        <v/>
      </c>
      <c r="H38" s="1196" t="inlineStr">
        <is>
          <t>%</t>
        </is>
      </c>
      <c r="I38" s="1184" t="n"/>
      <c r="J38" s="1177" t="n"/>
      <c r="K38" s="1177" t="n"/>
      <c r="L38" s="1177" t="n"/>
      <c r="M38" s="1177" t="n"/>
      <c r="N38" s="1177" t="n"/>
      <c r="O38" s="1178" t="n"/>
      <c r="P38" s="1185">
        <f>IF(D38="-","",D38*$G$7)</f>
        <v/>
      </c>
      <c r="Q38" s="1186" t="n"/>
      <c r="R38" s="1139" t="n"/>
      <c r="S38" s="1139" t="n"/>
      <c r="T38" s="1139" t="n"/>
      <c r="U38" s="1188" t="n"/>
    </row>
    <row r="39" ht="15" customFormat="1" customHeight="1" s="1175">
      <c r="A39" s="1197" t="n"/>
      <c r="B39" s="1198" t="n"/>
      <c r="C39" s="1199" t="n"/>
      <c r="D39" s="1200" t="n"/>
      <c r="E39" s="1201" t="n"/>
      <c r="F39" s="1181">
        <f>IF(D39="-","",(D39*E39*0.08)/$C$9)</f>
        <v/>
      </c>
      <c r="G39" s="1180">
        <f>IF(D39="-","",D39/($D$40/100))</f>
        <v/>
      </c>
      <c r="H39" s="1202" t="inlineStr">
        <is>
          <t>%</t>
        </is>
      </c>
      <c r="I39" s="1203" t="n"/>
      <c r="J39" s="1198" t="n"/>
      <c r="K39" s="1198" t="n"/>
      <c r="L39" s="1198" t="n"/>
      <c r="M39" s="1198" t="n"/>
      <c r="N39" s="1198" t="n"/>
      <c r="O39" s="1199" t="n"/>
      <c r="P39" s="1185">
        <f>IF(D39="-","",D39*$G$7)</f>
        <v/>
      </c>
      <c r="Q39" s="1186" t="n"/>
      <c r="R39" s="1139" t="n"/>
      <c r="S39" s="1139" t="n"/>
      <c r="T39" s="1139" t="n"/>
      <c r="U39" s="1188" t="n"/>
    </row>
    <row r="40" ht="15" customFormat="1" customHeight="1" s="1204">
      <c r="A40" s="1205" t="inlineStr">
        <is>
          <t>Totaal:</t>
        </is>
      </c>
      <c r="B40" s="1075" t="n"/>
      <c r="C40" s="1075" t="n"/>
      <c r="D40" s="1206">
        <f>SUM(D30:D39)</f>
        <v/>
      </c>
      <c r="E40" s="1207" t="n"/>
      <c r="F40" s="1208">
        <f>SUM(F30:F39)</f>
        <v/>
      </c>
      <c r="G40" s="1209">
        <f>SUM(G30:G39)</f>
        <v/>
      </c>
      <c r="H40" s="1210" t="inlineStr">
        <is>
          <t>%</t>
        </is>
      </c>
      <c r="I40" s="1211" t="inlineStr">
        <is>
          <t>Berekende kleur:</t>
        </is>
      </c>
      <c r="J40" s="1114" t="n"/>
      <c r="K40" s="1114" t="n"/>
      <c r="L40" s="1115" t="n"/>
      <c r="M40" s="1212">
        <f>F40+1.75</f>
        <v/>
      </c>
      <c r="N40" s="1213" t="inlineStr">
        <is>
          <t>EBC</t>
        </is>
      </c>
      <c r="O40" s="1115" t="n"/>
      <c r="P40" s="1214" t="n"/>
      <c r="Q40" s="1138" t="n"/>
      <c r="R40" s="1139" t="n"/>
      <c r="S40" s="1139" t="n"/>
      <c r="T40" s="1139" t="n"/>
      <c r="U40" s="1188" t="n"/>
    </row>
    <row r="41" ht="18.75" customFormat="1" customHeight="1" s="1204">
      <c r="A41" s="1215" t="inlineStr">
        <is>
          <t>Hops and herbs</t>
        </is>
      </c>
      <c r="B41" s="1114" t="n"/>
      <c r="C41" s="1114" t="n"/>
      <c r="D41" s="1114" t="n"/>
      <c r="E41" s="1114" t="n"/>
      <c r="F41" s="1114" t="n"/>
      <c r="G41" s="1114" t="n"/>
      <c r="H41" s="1114" t="n"/>
      <c r="I41" s="1114" t="n"/>
      <c r="J41" s="1114" t="n"/>
      <c r="K41" s="1114" t="n"/>
      <c r="L41" s="1114" t="n"/>
      <c r="M41" s="1114" t="n"/>
      <c r="N41" s="1114" t="n"/>
      <c r="O41" s="1114" t="n"/>
      <c r="P41" s="1115" t="n"/>
      <c r="Q41" s="1138" t="n"/>
      <c r="R41" s="1139" t="n"/>
      <c r="S41" s="1139" t="n"/>
      <c r="T41" s="1139" t="n"/>
      <c r="U41" s="1188" t="n"/>
    </row>
    <row r="42" ht="15" customFormat="1" customHeight="1" s="1204">
      <c r="A42" s="1216" t="inlineStr">
        <is>
          <t>Soort</t>
        </is>
      </c>
      <c r="B42" s="1075" t="n"/>
      <c r="C42" s="1076" t="n"/>
      <c r="D42" s="1085" t="inlineStr">
        <is>
          <t>alpha</t>
        </is>
      </c>
      <c r="E42" s="1085" t="inlineStr">
        <is>
          <t>Gram</t>
        </is>
      </c>
      <c r="F42" s="1115" t="n"/>
      <c r="G42" s="1217" t="inlineStr">
        <is>
          <t>Kooktijd</t>
        </is>
      </c>
      <c r="H42" s="1083" t="n"/>
      <c r="I42" s="1218" t="inlineStr">
        <is>
          <t>Rendement</t>
        </is>
      </c>
      <c r="J42" s="1115" t="n"/>
      <c r="K42" s="1219" t="inlineStr">
        <is>
          <t xml:space="preserve">EBU </t>
        </is>
      </c>
      <c r="L42" s="1082" t="inlineStr">
        <is>
          <t>Lotnummer</t>
        </is>
      </c>
      <c r="M42" s="1080" t="n"/>
      <c r="N42" s="1080" t="n"/>
      <c r="O42" s="1081" t="n"/>
      <c r="P42" s="1220" t="inlineStr">
        <is>
          <t>Totaal gram:</t>
        </is>
      </c>
      <c r="Q42" s="1138" t="n"/>
      <c r="R42" s="1139" t="n"/>
      <c r="S42" s="1139" t="n"/>
      <c r="T42" s="1139" t="n"/>
      <c r="U42" s="1188" t="n"/>
    </row>
    <row r="43" ht="15" customFormat="1" customHeight="1" s="1221">
      <c r="A43" s="1222" t="n"/>
      <c r="B43" s="1223" t="n"/>
      <c r="C43" s="1224" t="n"/>
      <c r="D43" s="1225" t="n"/>
      <c r="E43" s="1226" t="n"/>
      <c r="F43" s="1227" t="n"/>
      <c r="G43" s="1228" t="n"/>
      <c r="H43" s="1224" t="n"/>
      <c r="I43" s="1229" t="n"/>
      <c r="J43" s="1178" t="n"/>
      <c r="K43" s="1230">
        <f>IFERROR(IF(E43="-","",(E43*1000)*(D43/100)*(I43/100)/(IF(Brouwen!$F$16*100="-",$C$9*100,Brouwen!$F$16*100))),"")</f>
        <v/>
      </c>
      <c r="L43" s="1231" t="n"/>
      <c r="M43" s="1177" t="n"/>
      <c r="N43" s="1177" t="n"/>
      <c r="O43" s="1178" t="n"/>
      <c r="P43" s="1232">
        <f>IF(E43="-","",E43*$G$7)</f>
        <v/>
      </c>
      <c r="Q43" s="1138" t="n"/>
      <c r="R43" s="1139" t="n"/>
      <c r="S43" s="1139" t="n"/>
      <c r="T43" s="1139" t="n"/>
      <c r="U43" s="1188" t="n"/>
    </row>
    <row r="44" ht="15" customFormat="1" customHeight="1" s="1221">
      <c r="A44" s="1233" t="n"/>
      <c r="B44" s="1177" t="n"/>
      <c r="C44" s="1178" t="n"/>
      <c r="D44" s="1234" t="n"/>
      <c r="E44" s="1185" t="n"/>
      <c r="F44" s="1178" t="n"/>
      <c r="G44" s="1235" t="n"/>
      <c r="H44" s="1178" t="n"/>
      <c r="I44" s="1229" t="n"/>
      <c r="J44" s="1178" t="n"/>
      <c r="K44" s="1181">
        <f>IFERROR(IF(E44="-","",(E44*1000)*(D44/100)*(I44/100)/(IF(Brouwen!$F$16*100="-",$C$9*100,Brouwen!$F$16*100))),"")</f>
        <v/>
      </c>
      <c r="L44" s="1231" t="n"/>
      <c r="M44" s="1177" t="n"/>
      <c r="N44" s="1177" t="n"/>
      <c r="O44" s="1178" t="n"/>
      <c r="P44" s="1232">
        <f>IF(E44="-","",E44*$G$7)</f>
        <v/>
      </c>
      <c r="Q44" s="1138" t="n"/>
      <c r="R44" s="1139" t="n"/>
      <c r="S44" s="1139" t="n"/>
      <c r="T44" s="1139" t="n"/>
      <c r="U44" s="1188" t="n"/>
    </row>
    <row r="45" ht="15" customFormat="1" customHeight="1" s="1221">
      <c r="A45" s="1236" t="n"/>
      <c r="B45" s="1198" t="n"/>
      <c r="C45" s="1199" t="n"/>
      <c r="D45" s="1237" t="n"/>
      <c r="E45" s="1238" t="n"/>
      <c r="F45" s="1199" t="n"/>
      <c r="G45" s="1239" t="n"/>
      <c r="H45" s="1199" t="n"/>
      <c r="I45" s="1240" t="n"/>
      <c r="J45" s="1199" t="n"/>
      <c r="K45" s="1241">
        <f>IFERROR(IF(E45="-","",(E45*1000)*(D45/100)*(I45/100)/(IF(Brouwen!$F$16*100="-",$C$9*100,Brouwen!$F$16*100))),"")</f>
        <v/>
      </c>
      <c r="L45" s="1242" t="n"/>
      <c r="M45" s="1198" t="n"/>
      <c r="N45" s="1198" t="n"/>
      <c r="O45" s="1199" t="n"/>
      <c r="P45" s="1243">
        <f>IF(E45="-","",E45*$G$7)</f>
        <v/>
      </c>
      <c r="Q45" s="1138" t="n"/>
      <c r="R45" s="1139" t="n"/>
      <c r="S45" s="1139" t="n"/>
      <c r="T45" s="1139" t="n"/>
      <c r="U45" s="1188" t="n"/>
    </row>
    <row r="46" ht="15" customFormat="1" customHeight="1" s="1221">
      <c r="A46" s="1244" t="n"/>
      <c r="B46" s="1245" t="n"/>
      <c r="C46" s="1227" t="n"/>
      <c r="D46" s="1225" t="n"/>
      <c r="E46" s="1226" t="n"/>
      <c r="F46" s="1227" t="n"/>
      <c r="G46" s="1246" t="n"/>
      <c r="H46" s="1227" t="n"/>
      <c r="I46" s="1247" t="n"/>
      <c r="J46" s="1227" t="n"/>
      <c r="K46" s="1248">
        <f>IFERROR(IF(E46="-","",(E46*1000)*(D46/100)*(I46/100)/(IF(Brouwen!$F$16*100="-",$C$9*100,Brouwen!$F$16*100))),"")</f>
        <v/>
      </c>
      <c r="L46" s="1249" t="n"/>
      <c r="M46" s="1245" t="n"/>
      <c r="N46" s="1245" t="n"/>
      <c r="O46" s="1227" t="n"/>
      <c r="P46" s="1232">
        <f>IF(E46="-","",E46*$G$7)</f>
        <v/>
      </c>
      <c r="Q46" s="1138" t="n"/>
      <c r="R46" s="1139" t="n"/>
      <c r="S46" s="1139" t="n"/>
      <c r="T46" s="1139" t="n"/>
      <c r="U46" s="1188" t="n"/>
    </row>
    <row r="47" ht="15" customFormat="1" customHeight="1" s="1221">
      <c r="A47" s="1233" t="n"/>
      <c r="B47" s="1177" t="n"/>
      <c r="C47" s="1178" t="n"/>
      <c r="D47" s="1234" t="n"/>
      <c r="E47" s="1185" t="n"/>
      <c r="F47" s="1178" t="n"/>
      <c r="G47" s="1235" t="n"/>
      <c r="H47" s="1178" t="n"/>
      <c r="I47" s="1229" t="n"/>
      <c r="J47" s="1178" t="n"/>
      <c r="K47" s="1181">
        <f>IFERROR(IF(E47="-","",(E47*1000)*(D47/100)*(I47/100)/(IF(Brouwen!$F$16*100="-",$C$9*100,Brouwen!$F$16*100))),"")</f>
        <v/>
      </c>
      <c r="L47" s="1231" t="n"/>
      <c r="M47" s="1177" t="n"/>
      <c r="N47" s="1177" t="n"/>
      <c r="O47" s="1178" t="n"/>
      <c r="P47" s="1232">
        <f>IF(E47="-","",E47*$G$7)</f>
        <v/>
      </c>
      <c r="Q47" s="1138" t="n"/>
      <c r="R47" s="1139" t="n"/>
      <c r="S47" s="1139" t="n"/>
      <c r="T47" s="1139" t="n"/>
      <c r="U47" s="1188" t="n"/>
    </row>
    <row r="48" ht="15" customFormat="1" customHeight="1" s="1221">
      <c r="A48" s="1236" t="n"/>
      <c r="B48" s="1198" t="n"/>
      <c r="C48" s="1199" t="n"/>
      <c r="D48" s="1237" t="n"/>
      <c r="E48" s="1238" t="n"/>
      <c r="F48" s="1199" t="n"/>
      <c r="G48" s="1239" t="n"/>
      <c r="H48" s="1199" t="n"/>
      <c r="I48" s="1240" t="n"/>
      <c r="J48" s="1199" t="n"/>
      <c r="K48" s="1241">
        <f>IFERROR(IF(E48="-","",(E48*1000)*(D48/100)*(I48/100)/(IF(Brouwen!$F$16*100="-",$C$9*100,Brouwen!$F$16*100))),"")</f>
        <v/>
      </c>
      <c r="L48" s="1242" t="n"/>
      <c r="M48" s="1198" t="n"/>
      <c r="N48" s="1198" t="n"/>
      <c r="O48" s="1199" t="n"/>
      <c r="P48" s="1243">
        <f>IF(E48="-","",E48*$G$7)</f>
        <v/>
      </c>
      <c r="Q48" s="1138" t="n"/>
      <c r="R48" s="1139" t="n"/>
      <c r="S48" s="1139" t="n"/>
      <c r="T48" s="1139" t="n"/>
      <c r="U48" s="1188" t="n"/>
    </row>
    <row r="49" ht="15" customFormat="1" customHeight="1" s="1221">
      <c r="A49" s="1244" t="n"/>
      <c r="B49" s="1245" t="n"/>
      <c r="C49" s="1227" t="n"/>
      <c r="D49" s="1225" t="n"/>
      <c r="E49" s="1226" t="n"/>
      <c r="F49" s="1227" t="n"/>
      <c r="G49" s="1246" t="n"/>
      <c r="H49" s="1227" t="n"/>
      <c r="I49" s="1247" t="n"/>
      <c r="J49" s="1227" t="n"/>
      <c r="K49" s="1248">
        <f>IFERROR(IF(E49="-","",(E49*1000)*(D49/100)*(I49/100)/(IF(Brouwen!$F$16*100="-",$C$9*100,Brouwen!$F$16*100))),"")</f>
        <v/>
      </c>
      <c r="L49" s="1249" t="n"/>
      <c r="M49" s="1245" t="n"/>
      <c r="N49" s="1245" t="n"/>
      <c r="O49" s="1227" t="n"/>
      <c r="P49" s="1232">
        <f>IF(E49="-","",E49*$G$7)</f>
        <v/>
      </c>
      <c r="Q49" s="1138" t="n"/>
      <c r="R49" s="1139" t="n"/>
      <c r="S49" s="1139" t="n"/>
      <c r="T49" s="1139" t="n"/>
      <c r="U49" s="1188" t="n"/>
    </row>
    <row r="50" ht="15" customFormat="1" customHeight="1" s="1221">
      <c r="A50" s="1233" t="n"/>
      <c r="B50" s="1177" t="n"/>
      <c r="C50" s="1178" t="n"/>
      <c r="D50" s="1234" t="n"/>
      <c r="E50" s="1185" t="n"/>
      <c r="F50" s="1178" t="n"/>
      <c r="G50" s="1235" t="n"/>
      <c r="H50" s="1178" t="n"/>
      <c r="I50" s="1229" t="n"/>
      <c r="J50" s="1178" t="n"/>
      <c r="K50" s="1181">
        <f>IFERROR(IF(E50="-","",(E50*1000)*(D50/100)*(I50/100)/(IF(Brouwen!$F$16*100="-",$C$9*100,Brouwen!$F$16*100))),"")</f>
        <v/>
      </c>
      <c r="L50" s="1231" t="n"/>
      <c r="M50" s="1177" t="n"/>
      <c r="N50" s="1177" t="n"/>
      <c r="O50" s="1178" t="n"/>
      <c r="P50" s="1232">
        <f>IF(E50="-","",E50*$G$7)</f>
        <v/>
      </c>
      <c r="Q50" s="1138" t="n"/>
      <c r="R50" s="1139" t="n"/>
      <c r="S50" s="1139" t="n"/>
      <c r="T50" s="1139" t="n"/>
      <c r="U50" s="1188" t="n"/>
    </row>
    <row r="51" ht="15" customFormat="1" customHeight="1" s="1221">
      <c r="A51" s="1236" t="n"/>
      <c r="B51" s="1198" t="n"/>
      <c r="C51" s="1199" t="n"/>
      <c r="D51" s="1237" t="n"/>
      <c r="E51" s="1238" t="n"/>
      <c r="F51" s="1199" t="n"/>
      <c r="G51" s="1239" t="n"/>
      <c r="H51" s="1199" t="n"/>
      <c r="I51" s="1240" t="n"/>
      <c r="J51" s="1199" t="n"/>
      <c r="K51" s="1241">
        <f>IFERROR(IF(E51="-","",(E51*1000)*(D51/100)*(I51/100)/(IF(Brouwen!$F$16*100="-",$C$9*100,Brouwen!$F$16*100))),"")</f>
        <v/>
      </c>
      <c r="L51" s="1242" t="n"/>
      <c r="M51" s="1198" t="n"/>
      <c r="N51" s="1198" t="n"/>
      <c r="O51" s="1199" t="n"/>
      <c r="P51" s="1243">
        <f>IF(E51="-","",E51*$G$7)</f>
        <v/>
      </c>
      <c r="Q51" s="1138" t="n"/>
      <c r="R51" s="1139" t="n"/>
      <c r="S51" s="1139" t="n"/>
      <c r="T51" s="1139" t="n"/>
      <c r="U51" s="1188" t="n"/>
    </row>
    <row r="52" ht="15" customFormat="1" customHeight="1" s="1221">
      <c r="A52" s="1244" t="n"/>
      <c r="B52" s="1245" t="n"/>
      <c r="C52" s="1227" t="n"/>
      <c r="D52" s="1225" t="n"/>
      <c r="E52" s="1250" t="n"/>
      <c r="F52" s="1227" t="n"/>
      <c r="G52" s="1246" t="n"/>
      <c r="H52" s="1227" t="n"/>
      <c r="I52" s="1247" t="n"/>
      <c r="J52" s="1227" t="n"/>
      <c r="K52" s="1248">
        <f>IFERROR(IF(E52="-","",(E52*1000)*(D52/100)*(I52/100)/(IF(Brouwen!$F$16*100="-",$C$9*100,Brouwen!$F$16*100))),"")</f>
        <v/>
      </c>
      <c r="L52" s="1249" t="n"/>
      <c r="M52" s="1245" t="n"/>
      <c r="N52" s="1245" t="n"/>
      <c r="O52" s="1227" t="n"/>
      <c r="P52" s="1232">
        <f>IF(E52="-","",E52*$G$7)</f>
        <v/>
      </c>
      <c r="Q52" s="1138" t="n"/>
      <c r="R52" s="1139" t="n"/>
      <c r="S52" s="1139" t="n"/>
      <c r="T52" s="1139" t="n"/>
      <c r="U52" s="1188" t="n"/>
    </row>
    <row r="53" ht="15" customFormat="1" customHeight="1" s="1221">
      <c r="A53" s="1233" t="n"/>
      <c r="B53" s="1177" t="n"/>
      <c r="C53" s="1178" t="n"/>
      <c r="D53" s="1234" t="n"/>
      <c r="E53" s="1251" t="n"/>
      <c r="F53" s="1178" t="n"/>
      <c r="G53" s="1235" t="n"/>
      <c r="H53" s="1178" t="n"/>
      <c r="I53" s="1229" t="n"/>
      <c r="J53" s="1178" t="n"/>
      <c r="K53" s="1181">
        <f>IFERROR(IF(E53="-","",(E53*1000)*(D53/100)*(I53/100)/(IF(Brouwen!$F$16*100="-",$C$9*100,Brouwen!$F$16*100))),"")</f>
        <v/>
      </c>
      <c r="L53" s="1231" t="n"/>
      <c r="M53" s="1177" t="n"/>
      <c r="N53" s="1177" t="n"/>
      <c r="O53" s="1178" t="n"/>
      <c r="P53" s="1232">
        <f>IF(E53="-","",E53*$G$7)</f>
        <v/>
      </c>
      <c r="Q53" s="1138" t="n"/>
      <c r="R53" s="1139" t="n"/>
      <c r="S53" s="1139" t="n"/>
      <c r="T53" s="1139" t="n"/>
      <c r="U53" s="1188" t="n"/>
    </row>
    <row r="54" ht="15" customFormat="1" customHeight="1" s="1221">
      <c r="A54" s="1233" t="n"/>
      <c r="B54" s="1177" t="n"/>
      <c r="C54" s="1178" t="n"/>
      <c r="D54" s="1234" t="n"/>
      <c r="E54" s="1251" t="n"/>
      <c r="F54" s="1178" t="n"/>
      <c r="G54" s="1235" t="n"/>
      <c r="H54" s="1178" t="n"/>
      <c r="I54" s="1229" t="n"/>
      <c r="J54" s="1178" t="n"/>
      <c r="K54" s="1181">
        <f>IFERROR(IF(E54="-","",(E54*1000)*(D54/100)*(I54/100)/(IF(Brouwen!$F$16*100="-",$C$9*100,Brouwen!$F$16*100))),"")</f>
        <v/>
      </c>
      <c r="L54" s="1231" t="n"/>
      <c r="M54" s="1177" t="n"/>
      <c r="N54" s="1177" t="n"/>
      <c r="O54" s="1178" t="n"/>
      <c r="P54" s="1232">
        <f>IF(E54="-","",E54*$G$7)</f>
        <v/>
      </c>
      <c r="Q54" s="1138" t="n"/>
      <c r="R54" s="1139" t="n"/>
      <c r="S54" s="1139" t="n"/>
      <c r="T54" s="1139" t="n"/>
      <c r="U54" s="1188" t="n"/>
    </row>
    <row r="55" ht="15" customFormat="1" customHeight="1" s="1221">
      <c r="A55" s="1244" t="n"/>
      <c r="B55" s="1245" t="n"/>
      <c r="C55" s="1227" t="n"/>
      <c r="D55" s="1225" t="n"/>
      <c r="E55" s="1250" t="n"/>
      <c r="F55" s="1227" t="n"/>
      <c r="G55" s="1246" t="n"/>
      <c r="H55" s="1227" t="n"/>
      <c r="I55" s="1247" t="n"/>
      <c r="J55" s="1227" t="n"/>
      <c r="K55" s="1248">
        <f>IFERROR(IF(E55="-","",(E55*1000)*(D55/100)*(I55/100)/(IF(Brouwen!$F$16*100="-",$C$9*100,Brouwen!$F$16*100))),"")</f>
        <v/>
      </c>
      <c r="L55" s="1249" t="n"/>
      <c r="M55" s="1245" t="n"/>
      <c r="N55" s="1245" t="n"/>
      <c r="O55" s="1227" t="n"/>
      <c r="P55" s="1232">
        <f>IF(E55="-","",E55*$G$7)</f>
        <v/>
      </c>
      <c r="Q55" s="1138" t="n"/>
      <c r="R55" s="1139" t="n"/>
      <c r="S55" s="1139" t="n"/>
      <c r="T55" s="1139" t="n"/>
      <c r="U55" s="1188" t="n"/>
    </row>
    <row r="56" ht="15" customFormat="1" customHeight="1" s="1221">
      <c r="A56" s="1233" t="n"/>
      <c r="B56" s="1177" t="n"/>
      <c r="C56" s="1178" t="n"/>
      <c r="D56" s="1234" t="n"/>
      <c r="E56" s="1251" t="n"/>
      <c r="F56" s="1178" t="n"/>
      <c r="G56" s="1235" t="n"/>
      <c r="H56" s="1178" t="n"/>
      <c r="I56" s="1229" t="n"/>
      <c r="J56" s="1178" t="n"/>
      <c r="K56" s="1181">
        <f>IFERROR(IF(E56="-","",(E56*1000)*(D56/100)*(I56/100)/(IF(Brouwen!$F$16*100="-",$C$9*100,Brouwen!$F$16*100))),"")</f>
        <v/>
      </c>
      <c r="L56" s="1231" t="n"/>
      <c r="M56" s="1177" t="n"/>
      <c r="N56" s="1177" t="n"/>
      <c r="O56" s="1178" t="n"/>
      <c r="P56" s="1232">
        <f>IF(E56="-","",E56*$G$7)</f>
        <v/>
      </c>
      <c r="Q56" s="1138" t="n"/>
      <c r="R56" s="1139" t="n"/>
      <c r="S56" s="1139" t="n"/>
      <c r="T56" s="1139" t="n"/>
      <c r="U56" s="1188" t="n"/>
    </row>
    <row r="57" ht="15" customFormat="1" customHeight="1" s="1221">
      <c r="A57" s="1236" t="n"/>
      <c r="B57" s="1198" t="n"/>
      <c r="C57" s="1199" t="n"/>
      <c r="D57" s="1237" t="n"/>
      <c r="E57" s="1252" t="n"/>
      <c r="F57" s="1199" t="n"/>
      <c r="G57" s="1253" t="n"/>
      <c r="H57" s="1199" t="n"/>
      <c r="I57" s="1240" t="n"/>
      <c r="J57" s="1199" t="n"/>
      <c r="K57" s="1241">
        <f>IFERROR(IF(E57="-","",(E57*1000)*(D57/100)*(I57/100)/(IF(Brouwen!$F$16*100="-",$C$9*100,Brouwen!$F$16*100))),"")</f>
        <v/>
      </c>
      <c r="L57" s="1242" t="n"/>
      <c r="M57" s="1198" t="n"/>
      <c r="N57" s="1198" t="n"/>
      <c r="O57" s="1199" t="n"/>
      <c r="P57" s="1243">
        <f>IF(E57="-","",E57*$G$7)</f>
        <v/>
      </c>
      <c r="Q57" s="1138" t="n"/>
      <c r="R57" s="1139" t="n"/>
      <c r="S57" s="1139" t="n"/>
      <c r="T57" s="1139" t="n"/>
      <c r="U57" s="1188" t="n"/>
    </row>
    <row r="58" ht="15" customFormat="1" customHeight="1" s="1221">
      <c r="A58" s="1244" t="n"/>
      <c r="B58" s="1245" t="n"/>
      <c r="C58" s="1245" t="n"/>
      <c r="D58" s="1227" t="n"/>
      <c r="E58" s="1254" t="n"/>
      <c r="F58" s="1227" t="n"/>
      <c r="G58" s="1255" t="n"/>
      <c r="I58" s="1083" t="n"/>
      <c r="J58" s="1256">
        <f>IF(G58="warm",SUMIF(G58:I60,"warm",E58:F60)/($C$9*100),SUMIF(G58:I60,"Cold*",E58:F60)/($C$9*100))</f>
        <v/>
      </c>
      <c r="K58" s="1082" t="inlineStr">
        <is>
          <t>g/l</t>
        </is>
      </c>
      <c r="L58" s="1249" t="n"/>
      <c r="M58" s="1245" t="n"/>
      <c r="N58" s="1245" t="n"/>
      <c r="O58" s="1227" t="n"/>
      <c r="P58" s="1232">
        <f>IF(E58="-","",E58*$G$7)</f>
        <v/>
      </c>
      <c r="Q58" s="1138" t="n"/>
      <c r="R58" s="1139" t="n"/>
      <c r="S58" s="1139" t="n"/>
      <c r="T58" s="1139" t="n"/>
      <c r="U58" s="1188" t="n"/>
    </row>
    <row r="59" ht="15" customFormat="1" customHeight="1" s="1221">
      <c r="A59" s="1244" t="n"/>
      <c r="B59" s="1245" t="n"/>
      <c r="C59" s="1245" t="n"/>
      <c r="D59" s="1227" t="n"/>
      <c r="E59" s="1254" t="n"/>
      <c r="F59" s="1227" t="n"/>
      <c r="G59" s="1255" t="n"/>
      <c r="I59" s="1083" t="n"/>
      <c r="J59" s="1256" t="n"/>
      <c r="K59" s="1257" t="n"/>
      <c r="L59" s="1249" t="n"/>
      <c r="M59" s="1245" t="n"/>
      <c r="N59" s="1245" t="n"/>
      <c r="O59" s="1227" t="n"/>
      <c r="P59" s="1232">
        <f>IF(E59="-","",E59*$G$7)</f>
        <v/>
      </c>
      <c r="Q59" s="1138" t="n"/>
      <c r="R59" s="1139" t="n"/>
      <c r="S59" s="1139" t="n"/>
      <c r="T59" s="1139" t="n"/>
      <c r="U59" s="1188" t="n"/>
    </row>
    <row r="60" ht="15" customFormat="1" customHeight="1" s="1221">
      <c r="A60" s="1258" t="n"/>
      <c r="B60" s="1080" t="n"/>
      <c r="C60" s="1080" t="n"/>
      <c r="D60" s="1081" t="n"/>
      <c r="E60" s="1259" t="n"/>
      <c r="F60" s="1081" t="n"/>
      <c r="G60" s="1173" t="n"/>
      <c r="H60" s="1080" t="n"/>
      <c r="I60" s="1081" t="n"/>
      <c r="J60" s="1260" t="n"/>
      <c r="K60" s="1257" t="n"/>
      <c r="L60" s="1242" t="n"/>
      <c r="M60" s="1198" t="n"/>
      <c r="N60" s="1198" t="n"/>
      <c r="O60" s="1199" t="n"/>
      <c r="P60" s="1243">
        <f>IF(E60="-","",E60*$G$7)</f>
        <v/>
      </c>
      <c r="Q60" s="1138" t="n"/>
      <c r="R60" s="1139" t="n"/>
      <c r="S60" s="1261" t="n"/>
      <c r="T60" s="1139" t="n"/>
      <c r="U60" s="1188" t="n"/>
    </row>
    <row r="61" ht="15" customFormat="1" customHeight="1" s="1221">
      <c r="A61" s="1244" t="n"/>
      <c r="B61" s="1245" t="n"/>
      <c r="C61" s="1245" t="n"/>
      <c r="D61" s="1227" t="n"/>
      <c r="E61" s="1254" t="n"/>
      <c r="F61" s="1227" t="n"/>
      <c r="G61" s="1255" t="n"/>
      <c r="I61" s="1083" t="n"/>
      <c r="J61" s="1256">
        <f>IF(G61="warm",SUMIF(G61:I63,"warm",E61:F63)/($C$9*100),SUMIF(G61:I63,"Cold*",E61:F63)/($C$9*100))</f>
        <v/>
      </c>
      <c r="K61" s="1257" t="n"/>
      <c r="L61" s="1249" t="n"/>
      <c r="M61" s="1245" t="n"/>
      <c r="N61" s="1245" t="n"/>
      <c r="O61" s="1227" t="n"/>
      <c r="P61" s="1232">
        <f>IF(E61="-","",E61*$G$7)</f>
        <v/>
      </c>
      <c r="Q61" s="1138" t="n"/>
      <c r="R61" s="1139" t="n"/>
      <c r="S61" s="1139" t="n"/>
      <c r="T61" s="1139" t="n"/>
      <c r="U61" s="1188" t="n"/>
    </row>
    <row r="62" ht="15" customFormat="1" customHeight="1" s="1221">
      <c r="A62" s="1244" t="n"/>
      <c r="B62" s="1245" t="n"/>
      <c r="C62" s="1245" t="n"/>
      <c r="D62" s="1227" t="n"/>
      <c r="E62" s="1254" t="n"/>
      <c r="F62" s="1227" t="n"/>
      <c r="G62" s="1255" t="n"/>
      <c r="I62" s="1083" t="n"/>
      <c r="J62" s="1262" t="n"/>
      <c r="K62" s="1257" t="n"/>
      <c r="L62" s="1249" t="n"/>
      <c r="M62" s="1245" t="n"/>
      <c r="N62" s="1245" t="n"/>
      <c r="O62" s="1227" t="n"/>
      <c r="P62" s="1232">
        <f>IF(E62="-","",E62*$G$7)</f>
        <v/>
      </c>
      <c r="Q62" s="1138" t="n"/>
      <c r="R62" s="1139" t="n"/>
      <c r="S62" s="1139" t="n"/>
      <c r="T62" s="1139" t="n"/>
      <c r="U62" s="1188" t="n"/>
    </row>
    <row r="63" ht="15" customFormat="1" customHeight="1" s="1221">
      <c r="A63" s="1236" t="n"/>
      <c r="B63" s="1198" t="n"/>
      <c r="C63" s="1198" t="n"/>
      <c r="D63" s="1199" t="n"/>
      <c r="E63" s="1263" t="n"/>
      <c r="F63" s="1227" t="n"/>
      <c r="G63" s="1255" t="n"/>
      <c r="I63" s="1083" t="n"/>
      <c r="J63" s="1262" t="n"/>
      <c r="K63" s="1264" t="n"/>
      <c r="L63" s="1242" t="n"/>
      <c r="M63" s="1198" t="n"/>
      <c r="N63" s="1198" t="n"/>
      <c r="O63" s="1199" t="n"/>
      <c r="P63" s="1232">
        <f>IF(E63="-","",E63*$G$7)</f>
        <v/>
      </c>
      <c r="Q63" s="1265" t="n"/>
      <c r="R63" s="1076" t="n"/>
      <c r="S63" s="1139" t="n"/>
      <c r="T63" s="1139" t="n"/>
      <c r="U63" s="1188" t="n"/>
    </row>
    <row r="64" ht="15" customFormat="1" customHeight="1" s="1221">
      <c r="A64" s="1266" t="inlineStr">
        <is>
          <t>-</t>
        </is>
      </c>
      <c r="E64" s="1267" t="n"/>
      <c r="F64" s="1076" t="n"/>
      <c r="G64" s="1268" t="inlineStr">
        <is>
          <t>Totale bitterheid:</t>
        </is>
      </c>
      <c r="H64" s="1075" t="n"/>
      <c r="I64" s="1075" t="n"/>
      <c r="J64" s="1076" t="n"/>
      <c r="K64" s="1269">
        <f>ROUND(SUM(K43:K63),1)</f>
        <v/>
      </c>
      <c r="L64" s="1270" t="inlineStr">
        <is>
          <t>EBU</t>
        </is>
      </c>
      <c r="M64" s="1271" t="inlineStr">
        <is>
          <t>Totaal kg hop:</t>
        </is>
      </c>
      <c r="N64" s="1075" t="n"/>
      <c r="O64" s="1076" t="n"/>
      <c r="P64" s="1272">
        <f>SUM(P43:P63)/1000</f>
        <v/>
      </c>
      <c r="Q64" s="1273" t="n"/>
      <c r="R64" s="1274" t="n"/>
      <c r="S64" s="1139" t="n"/>
      <c r="T64" s="1139" t="n"/>
      <c r="U64" s="1188" t="n"/>
    </row>
    <row r="65" ht="15.75" customFormat="1" customHeight="1" s="1221">
      <c r="A65" s="1275" t="inlineStr">
        <is>
          <t>Hop totaal gewicht</t>
        </is>
      </c>
      <c r="B65" s="1075" t="n"/>
      <c r="C65" s="1075" t="n"/>
      <c r="D65" s="1075" t="n"/>
      <c r="E65" s="1075" t="n"/>
      <c r="F65" s="1075" t="n"/>
      <c r="G65" s="1075" t="n"/>
      <c r="H65" s="1075" t="n"/>
      <c r="I65" s="1075" t="n"/>
      <c r="J65" s="1075" t="n"/>
      <c r="K65" s="1075" t="n"/>
      <c r="L65" s="1075" t="n"/>
      <c r="M65" s="1075" t="n"/>
      <c r="N65" s="1075" t="n"/>
      <c r="O65" s="1075" t="n"/>
      <c r="P65" s="1076" t="n"/>
      <c r="Q65" s="1138" t="n"/>
      <c r="R65" s="1139" t="n"/>
      <c r="S65" s="1139" t="n"/>
      <c r="T65" s="1139" t="n"/>
      <c r="U65" s="1188" t="n"/>
    </row>
    <row r="66" ht="15" customFormat="1" customHeight="1" s="1221">
      <c r="A66" s="1276" t="inlineStr">
        <is>
          <t>Hop soort</t>
        </is>
      </c>
      <c r="B66" s="1075" t="n"/>
      <c r="C66" s="1075" t="n"/>
      <c r="D66" s="1076" t="n"/>
      <c r="E66" s="1276" t="inlineStr">
        <is>
          <t>Totaal gram</t>
        </is>
      </c>
      <c r="F66" s="1075" t="n"/>
      <c r="G66" s="1075" t="n"/>
      <c r="H66" s="1076" t="n"/>
      <c r="I66" s="1276" t="inlineStr">
        <is>
          <t>Hop soort</t>
        </is>
      </c>
      <c r="J66" s="1075" t="n"/>
      <c r="K66" s="1075" t="n"/>
      <c r="L66" s="1076" t="n"/>
      <c r="M66" s="1276" t="inlineStr">
        <is>
          <t>Totaal gram</t>
        </is>
      </c>
      <c r="N66" s="1075" t="n"/>
      <c r="O66" s="1075" t="n"/>
      <c r="P66" s="1076" t="n"/>
      <c r="Q66" s="1138" t="n"/>
      <c r="R66" s="1139" t="n"/>
      <c r="S66" s="1139" t="n"/>
      <c r="T66" s="1139" t="n"/>
      <c r="U66" s="1188" t="n"/>
    </row>
    <row r="67" ht="15" customFormat="1" customHeight="1" s="1221">
      <c r="A67" s="1277">
        <f>IFERROR(INDEX(_xlfn.UNIQUE(_xlfn._xlws.FILTER($A$43:$A$63,$A$43:$A$63&lt;&gt;"")),1),"")</f>
      </c>
      <c r="B67" s="1278" t="n"/>
      <c r="C67" s="1278" t="n"/>
      <c r="D67" s="1279" t="n"/>
      <c r="E67" s="1280">
        <f>IF(A67="","",SUMIF($A$43:$A$63,A67,$P$43:$P$63))</f>
      </c>
      <c r="F67" s="1223" t="n"/>
      <c r="G67" s="1223" t="n"/>
      <c r="H67" s="1224" t="n"/>
      <c r="I67" s="1281">
        <f>IFERROR(INDEX(_xlfn.UNIQUE(_xlfn._xlws.FILTER($A$43:$A$63,$A$43:$A$63&lt;&gt;"")),7),"")</f>
      </c>
      <c r="J67" s="1223" t="n"/>
      <c r="K67" s="1223" t="n"/>
      <c r="L67" s="1224" t="n"/>
      <c r="M67" s="1243">
        <f>IF(I67="","",SUMIF($A$43:$A$63,I67,$P$43:$P$63))</f>
      </c>
      <c r="N67" s="1198" t="n"/>
      <c r="O67" s="1198" t="n"/>
      <c r="P67" s="1199" t="n"/>
      <c r="Q67" s="1138" t="n"/>
      <c r="R67" s="1139" t="n"/>
      <c r="S67" s="1139" t="n"/>
      <c r="T67" s="1139" t="n"/>
      <c r="U67" s="1188" t="n"/>
    </row>
    <row r="68" ht="15" customFormat="1" customHeight="1" s="1221">
      <c r="A68" s="1282">
        <f>IFERROR(INDEX(_xlfn.UNIQUE(_xlfn._xlws.FILTER($A$43:$A$63,$A$43:$A$63&lt;&gt;"")),2),"")</f>
      </c>
      <c r="B68" s="1177" t="n"/>
      <c r="C68" s="1177" t="n"/>
      <c r="D68" s="1178" t="n"/>
      <c r="E68" s="1232">
        <f>IF(A68="","",SUMIF($A$43:$A$63,A68,$P$43:$P$63))</f>
      </c>
      <c r="F68" s="1245" t="n"/>
      <c r="G68" s="1245" t="n"/>
      <c r="H68" s="1227" t="n"/>
      <c r="I68" s="1282">
        <f>IFERROR(INDEX(_xlfn.UNIQUE(_xlfn._xlws.FILTER($A$43:$A$63,$A$43:$A$63&lt;&gt;"")),8),"")</f>
      </c>
      <c r="J68" s="1177" t="n"/>
      <c r="K68" s="1177" t="n"/>
      <c r="L68" s="1178" t="n"/>
      <c r="M68" s="1232">
        <f>IF(I68="","",SUMIF($A$43:$A$63,I68,$P$43:$P$63))</f>
      </c>
      <c r="N68" s="1245" t="n"/>
      <c r="O68" s="1245" t="n"/>
      <c r="P68" s="1227" t="n"/>
      <c r="Q68" s="1138" t="n"/>
      <c r="R68" s="1139" t="n"/>
      <c r="S68" s="1139" t="n"/>
      <c r="T68" s="1139" t="n"/>
      <c r="U68" s="1188" t="n"/>
    </row>
    <row r="69" ht="15" customFormat="1" customHeight="1" s="1221">
      <c r="A69" s="1282">
        <f>IFERROR(INDEX(_xlfn.UNIQUE(_xlfn._xlws.FILTER($A$43:$A$63,$A$43:$A$63&lt;&gt;"")),3),"")</f>
      </c>
      <c r="B69" s="1177" t="n"/>
      <c r="C69" s="1177" t="n"/>
      <c r="D69" s="1178" t="n"/>
      <c r="E69" s="1232">
        <f>IF(A69="","",SUMIF($A$43:$A$63,A69,$P$43:$P$63))</f>
      </c>
      <c r="F69" s="1245" t="n"/>
      <c r="G69" s="1245" t="n"/>
      <c r="H69" s="1227" t="n"/>
      <c r="I69" s="1282">
        <f>IFERROR(INDEX(_xlfn.UNIQUE(_xlfn._xlws.FILTER($A$43:$A$63,$A$43:$A$63&lt;&gt;"")),9),"")</f>
      </c>
      <c r="J69" s="1177" t="n"/>
      <c r="K69" s="1177" t="n"/>
      <c r="L69" s="1178" t="n"/>
      <c r="M69" s="1232">
        <f>IF(I69="","",SUMIF($A$43:$A$63,I69,$P$43:$P$63))</f>
      </c>
      <c r="N69" s="1245" t="n"/>
      <c r="O69" s="1245" t="n"/>
      <c r="P69" s="1227" t="n"/>
      <c r="Q69" s="1138" t="n"/>
      <c r="R69" s="1139" t="n"/>
      <c r="S69" s="1139" t="n"/>
      <c r="T69" s="1139" t="n"/>
      <c r="U69" s="1188" t="n"/>
    </row>
    <row r="70" ht="15" customFormat="1" customHeight="1" s="1221">
      <c r="A70" s="1283">
        <f>IFERROR(INDEX(_xlfn.UNIQUE(_xlfn._xlws.FILTER($A$43:$A$63,$A$43:$A$63&lt;&gt;"")),4),"")</f>
      </c>
      <c r="B70" s="1198" t="n"/>
      <c r="C70" s="1198" t="n"/>
      <c r="D70" s="1199" t="n"/>
      <c r="E70" s="1243">
        <f>IF(A70="","",SUMIF($A$43:$A$63,A70,$P$43:$P$63))</f>
      </c>
      <c r="F70" s="1198" t="n"/>
      <c r="G70" s="1198" t="n"/>
      <c r="H70" s="1199" t="n"/>
      <c r="I70" s="1283">
        <f>IFERROR(INDEX(_xlfn.UNIQUE(_xlfn._xlws.FILTER($A$43:$A$63,$A$43:$A$63&lt;&gt;"")),10),"")</f>
      </c>
      <c r="J70" s="1198" t="n"/>
      <c r="K70" s="1198" t="n"/>
      <c r="L70" s="1199" t="n"/>
      <c r="M70" s="1243">
        <f>IF(I70="","",SUMIF($A$43:$A$63,I70,$P$43:$P$63))</f>
      </c>
      <c r="N70" s="1198" t="n"/>
      <c r="O70" s="1198" t="n"/>
      <c r="P70" s="1199" t="n"/>
      <c r="Q70" s="1138" t="n"/>
      <c r="R70" s="1139" t="n"/>
      <c r="S70" s="1139" t="n"/>
      <c r="T70" s="1139" t="n"/>
      <c r="U70" s="1188" t="n"/>
    </row>
    <row r="71" ht="15" customFormat="1" customHeight="1" s="1221">
      <c r="A71" s="1283">
        <f>IFERROR(INDEX(_xlfn.UNIQUE(_xlfn._xlws.FILTER($A$43:$A$63,$A$43:$A$63&lt;&gt;"")),5),"")</f>
      </c>
      <c r="B71" s="1198" t="n"/>
      <c r="C71" s="1198" t="n"/>
      <c r="D71" s="1199" t="n"/>
      <c r="E71" s="1243">
        <f>IF(A71="","",SUMIF($A$43:$A$63,A71,$P$43:$P$63))</f>
      </c>
      <c r="F71" s="1198" t="n"/>
      <c r="G71" s="1198" t="n"/>
      <c r="H71" s="1199" t="n"/>
      <c r="I71" s="1283">
        <f>IFERROR(INDEX(_xlfn.UNIQUE(_xlfn._xlws.FILTER($A$43:$A$63,$A$43:$A$63&lt;&gt;"")),11),"")</f>
      </c>
      <c r="J71" s="1198" t="n"/>
      <c r="K71" s="1198" t="n"/>
      <c r="L71" s="1199" t="n"/>
      <c r="M71" s="1243">
        <f>IF(I71="","",SUMIF($A$43:$A$63,I71,$P$43:$P$63))</f>
      </c>
      <c r="N71" s="1198" t="n"/>
      <c r="O71" s="1198" t="n"/>
      <c r="P71" s="1199" t="n"/>
      <c r="Q71" s="1138" t="n"/>
      <c r="R71" s="1139" t="n"/>
      <c r="S71" s="1139" t="n"/>
      <c r="T71" s="1139" t="n"/>
      <c r="U71" s="1188" t="n"/>
    </row>
    <row r="72" ht="15" customFormat="1" customHeight="1" s="1221">
      <c r="A72" s="1283">
        <f>IFERROR(INDEX(_xlfn.UNIQUE(_xlfn._xlws.FILTER($A$43:$A$63,$A$43:$A$63&lt;&gt;"")),6),"")</f>
      </c>
      <c r="B72" s="1198" t="n"/>
      <c r="C72" s="1198" t="n"/>
      <c r="D72" s="1199" t="n"/>
      <c r="E72" s="1243">
        <f>IF(A72="","",SUMIF($A$43:$A$63,A72,$P$43:$P$63))</f>
      </c>
      <c r="F72" s="1198" t="n"/>
      <c r="G72" s="1198" t="n"/>
      <c r="H72" s="1199" t="n"/>
      <c r="I72" s="1283">
        <f>IFERROR(INDEX(_xlfn.UNIQUE(_xlfn._xlws.FILTER($A$43:$A$63,$A$43:$A$63&lt;&gt;"")),12),"")</f>
      </c>
      <c r="J72" s="1198" t="n"/>
      <c r="K72" s="1198" t="n"/>
      <c r="L72" s="1199" t="n"/>
      <c r="M72" s="1243">
        <f>IF(I72="","",SUMIF($A$43:$A$63,I72,$P$43:$P$63))</f>
      </c>
      <c r="N72" s="1198" t="n"/>
      <c r="O72" s="1198" t="n"/>
      <c r="P72" s="1199" t="n"/>
      <c r="Q72" s="1138" t="n"/>
      <c r="R72" s="1139" t="n"/>
      <c r="S72" s="1139" t="n"/>
      <c r="T72" s="1139" t="n"/>
      <c r="U72" s="1188" t="n"/>
    </row>
    <row r="73" ht="18.75" customFormat="1" customHeight="1" s="1221">
      <c r="A73" s="1284" t="inlineStr">
        <is>
          <t>Additions Brewers</t>
        </is>
      </c>
      <c r="B73" s="1080" t="n"/>
      <c r="C73" s="1080" t="n"/>
      <c r="D73" s="1080" t="n"/>
      <c r="E73" s="1080" t="n"/>
      <c r="F73" s="1080" t="n"/>
      <c r="G73" s="1080" t="n"/>
      <c r="H73" s="1080" t="n"/>
      <c r="I73" s="1080" t="n"/>
      <c r="J73" s="1080" t="n"/>
      <c r="K73" s="1080" t="n"/>
      <c r="L73" s="1080" t="n"/>
      <c r="M73" s="1080" t="n"/>
      <c r="N73" s="1080" t="n"/>
      <c r="O73" s="1080" t="n"/>
      <c r="P73" s="1081" t="n"/>
      <c r="Q73" s="1138" t="n"/>
      <c r="R73" s="1139" t="n"/>
      <c r="S73" s="1139" t="n"/>
      <c r="T73" s="1139" t="n"/>
      <c r="U73" s="1188" t="n"/>
    </row>
    <row r="74" ht="15" customFormat="1" customHeight="1" s="1221">
      <c r="A74" s="1285" t="inlineStr">
        <is>
          <t>Soort</t>
        </is>
      </c>
      <c r="B74" s="1114" t="n"/>
      <c r="C74" s="1114" t="n"/>
      <c r="D74" s="1115" t="n"/>
      <c r="E74" s="1286" t="inlineStr">
        <is>
          <t>Ratio</t>
        </is>
      </c>
      <c r="F74" s="1114" t="n"/>
      <c r="G74" s="1114" t="inlineStr">
        <is>
          <t>Per brew</t>
        </is>
      </c>
      <c r="H74" s="1114" t="n"/>
      <c r="I74" s="1287" t="inlineStr">
        <is>
          <t>Wanneer</t>
        </is>
      </c>
      <c r="J74" s="1114" t="n"/>
      <c r="K74" s="1115" t="n"/>
      <c r="L74" s="1288" t="inlineStr">
        <is>
          <t>Lotnummer</t>
        </is>
      </c>
      <c r="M74" s="1080" t="n"/>
      <c r="N74" s="1080" t="n"/>
      <c r="O74" s="1080" t="n"/>
      <c r="P74" s="1081" t="n"/>
      <c r="Q74" s="1138" t="n"/>
      <c r="R74" s="1139" t="n"/>
      <c r="S74" s="1139" t="n"/>
      <c r="T74" s="1139" t="n"/>
      <c r="U74" s="1188" t="n"/>
    </row>
    <row r="75" ht="17.25" customFormat="1" customHeight="1" s="1221">
      <c r="A75" s="1289" t="n"/>
      <c r="B75" s="1177" t="n"/>
      <c r="C75" s="1177" t="n"/>
      <c r="D75" s="1178" t="n"/>
      <c r="E75" s="1290" t="n"/>
      <c r="F75" s="1177" t="n"/>
      <c r="G75" s="1177" t="n"/>
      <c r="H75" s="1177" t="n"/>
      <c r="I75" s="1291" t="n"/>
      <c r="J75" s="1223" t="n"/>
      <c r="K75" s="1224" t="n"/>
      <c r="L75" s="1292" t="n"/>
      <c r="M75" s="1177" t="n"/>
      <c r="N75" s="1177" t="n"/>
      <c r="O75" s="1177" t="n"/>
      <c r="P75" s="1178" t="n"/>
      <c r="Q75" s="1138" t="n"/>
      <c r="R75" s="1139" t="n"/>
      <c r="S75" s="1139" t="n"/>
      <c r="T75" s="1139" t="n"/>
      <c r="U75" s="1188" t="n"/>
    </row>
    <row r="76" ht="15" customFormat="1" customHeight="1" s="1221">
      <c r="A76" s="1289" t="n"/>
      <c r="B76" s="1177" t="n"/>
      <c r="C76" s="1177" t="n"/>
      <c r="D76" s="1178" t="n"/>
      <c r="E76" s="1293" t="n"/>
      <c r="F76" s="1177" t="n"/>
      <c r="G76" s="1177" t="n"/>
      <c r="H76" s="1178" t="n"/>
      <c r="I76" s="1289" t="n"/>
      <c r="J76" s="1177" t="n"/>
      <c r="K76" s="1178" t="n"/>
      <c r="L76" s="1292" t="n"/>
      <c r="M76" s="1177" t="n"/>
      <c r="N76" s="1177" t="n"/>
      <c r="O76" s="1177" t="n"/>
      <c r="P76" s="1178" t="n"/>
      <c r="Q76" s="1138" t="n"/>
      <c r="R76" s="1139" t="n"/>
      <c r="S76" s="1139" t="n"/>
      <c r="T76" s="1139" t="n"/>
      <c r="U76" s="1188" t="n"/>
    </row>
    <row r="77" ht="15" customFormat="1" customHeight="1" s="1221">
      <c r="A77" s="1289" t="n"/>
      <c r="B77" s="1177" t="n"/>
      <c r="C77" s="1177" t="n"/>
      <c r="D77" s="1178" t="n"/>
      <c r="E77" s="1293" t="n"/>
      <c r="F77" s="1177" t="n"/>
      <c r="G77" s="1177" t="n"/>
      <c r="H77" s="1178" t="n"/>
      <c r="I77" s="1289" t="n"/>
      <c r="J77" s="1177" t="n"/>
      <c r="K77" s="1178" t="n"/>
      <c r="L77" s="1292" t="n"/>
      <c r="M77" s="1177" t="n"/>
      <c r="N77" s="1177" t="n"/>
      <c r="O77" s="1177" t="n"/>
      <c r="P77" s="1178" t="n"/>
      <c r="Q77" s="1138" t="n"/>
      <c r="R77" s="1139" t="n"/>
      <c r="S77" s="1139" t="n"/>
      <c r="T77" s="1139" t="n"/>
      <c r="U77" s="1188" t="n"/>
    </row>
    <row r="78" ht="15" customFormat="1" customHeight="1" s="1221">
      <c r="A78" s="1289" t="n"/>
      <c r="B78" s="1177" t="n"/>
      <c r="C78" s="1177" t="n"/>
      <c r="D78" s="1178" t="n"/>
      <c r="E78" s="1293" t="n"/>
      <c r="F78" s="1177" t="n"/>
      <c r="G78" s="1177" t="n"/>
      <c r="H78" s="1178" t="n"/>
      <c r="I78" s="1289" t="n"/>
      <c r="J78" s="1177" t="n"/>
      <c r="K78" s="1178" t="n"/>
      <c r="L78" s="1292" t="n"/>
      <c r="M78" s="1177" t="n"/>
      <c r="N78" s="1177" t="n"/>
      <c r="O78" s="1177" t="n"/>
      <c r="P78" s="1178" t="n"/>
      <c r="Q78" s="1138" t="n"/>
      <c r="R78" s="1139" t="n"/>
      <c r="S78" s="1139" t="n"/>
      <c r="T78" s="1139" t="n"/>
      <c r="U78" s="1188" t="n"/>
    </row>
    <row r="79" ht="15" customFormat="1" customHeight="1" s="1221">
      <c r="A79" s="1289" t="n"/>
      <c r="B79" s="1177" t="n"/>
      <c r="C79" s="1177" t="n"/>
      <c r="D79" s="1178" t="n"/>
      <c r="E79" s="1294" t="n"/>
      <c r="F79" s="1177" t="n"/>
      <c r="G79" s="1177" t="n"/>
      <c r="H79" s="1178" t="n"/>
      <c r="I79" s="1289" t="n"/>
      <c r="J79" s="1177" t="n"/>
      <c r="K79" s="1178" t="n"/>
      <c r="L79" s="1292" t="n"/>
      <c r="M79" s="1177" t="n"/>
      <c r="N79" s="1177" t="n"/>
      <c r="O79" s="1177" t="n"/>
      <c r="P79" s="1178" t="n"/>
      <c r="Q79" s="1138" t="n"/>
      <c r="R79" s="1139" t="n"/>
      <c r="S79" s="1139" t="n"/>
      <c r="T79" s="1139" t="n"/>
      <c r="U79" s="1188" t="n"/>
    </row>
    <row r="80" ht="15" customFormat="1" customHeight="1" s="1221">
      <c r="A80" s="1289" t="n"/>
      <c r="B80" s="1177" t="n"/>
      <c r="C80" s="1177" t="n"/>
      <c r="D80" s="1178" t="n"/>
      <c r="E80" s="1293" t="n"/>
      <c r="F80" s="1177" t="n"/>
      <c r="G80" s="1177" t="n"/>
      <c r="H80" s="1178" t="n"/>
      <c r="I80" s="1289" t="n"/>
      <c r="J80" s="1177" t="n"/>
      <c r="K80" s="1178" t="n"/>
      <c r="L80" s="1292" t="n"/>
      <c r="M80" s="1177" t="n"/>
      <c r="N80" s="1177" t="n"/>
      <c r="O80" s="1177" t="n"/>
      <c r="P80" s="1178" t="n"/>
      <c r="Q80" s="1138" t="n"/>
      <c r="R80" s="1139" t="n"/>
      <c r="S80" s="1139" t="n"/>
      <c r="T80" s="1139" t="n"/>
      <c r="U80" s="1188" t="n"/>
    </row>
    <row r="81" ht="15" customFormat="1" customHeight="1" s="1221">
      <c r="A81" s="1289" t="n"/>
      <c r="B81" s="1177" t="n"/>
      <c r="C81" s="1177" t="n"/>
      <c r="D81" s="1178" t="n"/>
      <c r="E81" s="1293" t="n"/>
      <c r="F81" s="1177" t="n"/>
      <c r="G81" s="1177" t="n"/>
      <c r="H81" s="1178" t="n"/>
      <c r="I81" s="1289" t="n"/>
      <c r="J81" s="1177" t="n"/>
      <c r="K81" s="1178" t="n"/>
      <c r="L81" s="1292" t="n"/>
      <c r="M81" s="1177" t="n"/>
      <c r="N81" s="1177" t="n"/>
      <c r="O81" s="1177" t="n"/>
      <c r="P81" s="1178" t="n"/>
      <c r="Q81" s="1138" t="n"/>
      <c r="R81" s="1139" t="n"/>
      <c r="S81" s="1139" t="n"/>
      <c r="T81" s="1139" t="n"/>
      <c r="U81" s="1188" t="n"/>
    </row>
    <row r="82" ht="15" customFormat="1" customHeight="1" s="1221">
      <c r="A82" s="1289" t="n"/>
      <c r="B82" s="1177" t="n"/>
      <c r="C82" s="1177" t="n"/>
      <c r="D82" s="1178" t="n"/>
      <c r="E82" s="1293" t="n"/>
      <c r="F82" s="1177" t="n"/>
      <c r="G82" s="1177" t="n"/>
      <c r="H82" s="1178" t="n"/>
      <c r="I82" s="1289" t="n"/>
      <c r="J82" s="1177" t="n"/>
      <c r="K82" s="1178" t="n"/>
      <c r="L82" s="1292" t="n"/>
      <c r="M82" s="1177" t="n"/>
      <c r="N82" s="1177" t="n"/>
      <c r="O82" s="1177" t="n"/>
      <c r="P82" s="1178" t="n"/>
      <c r="Q82" s="1138" t="n"/>
      <c r="R82" s="1139" t="n"/>
      <c r="S82" s="1139" t="n"/>
      <c r="T82" s="1139" t="n"/>
      <c r="U82" s="1188" t="n"/>
    </row>
    <row r="83" ht="15" customFormat="1" customHeight="1" s="1221">
      <c r="A83" s="1289" t="n"/>
      <c r="B83" s="1177" t="n"/>
      <c r="C83" s="1177" t="n"/>
      <c r="D83" s="1178" t="n"/>
      <c r="E83" s="1293" t="n"/>
      <c r="F83" s="1177" t="n"/>
      <c r="G83" s="1177" t="n"/>
      <c r="H83" s="1178" t="n"/>
      <c r="I83" s="1289" t="n"/>
      <c r="J83" s="1177" t="n"/>
      <c r="K83" s="1178" t="n"/>
      <c r="L83" s="1292" t="n"/>
      <c r="M83" s="1177" t="n"/>
      <c r="N83" s="1177" t="n"/>
      <c r="O83" s="1177" t="n"/>
      <c r="P83" s="1178" t="n"/>
      <c r="Q83" s="1138" t="n"/>
      <c r="R83" s="1139" t="n"/>
      <c r="S83" s="1139" t="n"/>
      <c r="T83" s="1139" t="n"/>
      <c r="U83" s="1188" t="n"/>
    </row>
    <row r="84" ht="15" customFormat="1" customHeight="1" s="1221">
      <c r="A84" s="1289" t="n"/>
      <c r="B84" s="1177" t="n"/>
      <c r="C84" s="1177" t="n"/>
      <c r="D84" s="1178" t="n"/>
      <c r="E84" s="1295" t="n"/>
      <c r="F84" s="1198" t="n"/>
      <c r="G84" s="1198" t="n"/>
      <c r="H84" s="1199" t="n"/>
      <c r="I84" s="1289" t="n"/>
      <c r="J84" s="1177" t="n"/>
      <c r="K84" s="1178" t="n"/>
      <c r="L84" s="1292" t="n"/>
      <c r="M84" s="1177" t="n"/>
      <c r="N84" s="1177" t="n"/>
      <c r="O84" s="1177" t="n"/>
      <c r="P84" s="1178" t="n"/>
      <c r="Q84" s="1138" t="n"/>
      <c r="R84" s="1139" t="n"/>
      <c r="S84" s="1139" t="n"/>
      <c r="T84" s="1139" t="n"/>
      <c r="U84" s="1188" t="n"/>
    </row>
    <row r="85" ht="15.75" customFormat="1" customHeight="1" s="1221">
      <c r="A85" s="1215" t="inlineStr">
        <is>
          <t>Dry yeast</t>
        </is>
      </c>
      <c r="B85" s="1114" t="n"/>
      <c r="C85" s="1114" t="n"/>
      <c r="D85" s="1114" t="n"/>
      <c r="E85" s="1114" t="n"/>
      <c r="F85" s="1114" t="n"/>
      <c r="G85" s="1114" t="n"/>
      <c r="H85" s="1114" t="n"/>
      <c r="I85" s="1114" t="n"/>
      <c r="J85" s="1114" t="n"/>
      <c r="K85" s="1114" t="n"/>
      <c r="L85" s="1114" t="n"/>
      <c r="M85" s="1114" t="n"/>
      <c r="N85" s="1114" t="n"/>
      <c r="O85" s="1114" t="n"/>
      <c r="P85" s="1115" t="n"/>
      <c r="Q85" s="1138" t="n"/>
      <c r="R85" s="1139" t="n"/>
      <c r="S85" s="1139" t="n"/>
      <c r="T85" s="1139" t="n"/>
      <c r="U85" s="1188" t="n"/>
    </row>
    <row r="86" ht="15" customFormat="1" customHeight="1" s="1221">
      <c r="A86" s="1296" t="inlineStr">
        <is>
          <t>Soort</t>
        </is>
      </c>
      <c r="B86" s="1114" t="n"/>
      <c r="C86" s="1114" t="n"/>
      <c r="D86" s="1114" t="n"/>
      <c r="E86" s="1114" t="n"/>
      <c r="F86" s="1297" t="inlineStr">
        <is>
          <t>Brews/1st day</t>
        </is>
      </c>
      <c r="G86" s="1298" t="inlineStr">
        <is>
          <t>Hoeveelheid per batch</t>
        </is>
      </c>
      <c r="H86" s="1114" t="n"/>
      <c r="I86" s="1114" t="n"/>
      <c r="J86" s="1114" t="n"/>
      <c r="K86" s="1115" t="n"/>
      <c r="L86" s="1299" t="inlineStr">
        <is>
          <t>Lotnummer</t>
        </is>
      </c>
      <c r="M86" s="1080" t="n"/>
      <c r="N86" s="1080" t="n"/>
      <c r="O86" s="1080" t="n"/>
      <c r="P86" s="1081" t="n"/>
      <c r="Q86" s="1138" t="n"/>
      <c r="R86" s="1139" t="n"/>
      <c r="S86" s="1139" t="n"/>
      <c r="T86" s="1139" t="n"/>
      <c r="U86" s="1188" t="n"/>
    </row>
    <row r="87" ht="15" customFormat="1" customHeight="1" s="1221">
      <c r="A87" s="1300" t="n"/>
      <c r="B87" s="1223" t="n"/>
      <c r="C87" s="1223" t="n"/>
      <c r="D87" s="1223" t="n"/>
      <c r="E87" s="1223" t="n"/>
      <c r="F87" s="1301" t="n">
        <v>1</v>
      </c>
      <c r="G87" s="1302" t="n"/>
      <c r="H87" s="1223" t="n"/>
      <c r="I87" s="1223" t="n"/>
      <c r="J87" s="1224" t="n"/>
      <c r="K87" s="1303" t="inlineStr">
        <is>
          <t>g</t>
        </is>
      </c>
      <c r="L87" s="1304" t="n"/>
      <c r="M87" s="1223" t="n"/>
      <c r="N87" s="1223" t="n"/>
      <c r="O87" s="1223" t="n"/>
      <c r="P87" s="1224" t="n"/>
      <c r="Q87" s="1138" t="n"/>
      <c r="R87" s="1139" t="n"/>
      <c r="S87" s="1139" t="n"/>
      <c r="T87" s="1139" t="n"/>
      <c r="U87" s="1188" t="n"/>
    </row>
    <row r="88" ht="15" customFormat="1" customHeight="1" s="1221">
      <c r="A88" s="1236" t="n"/>
      <c r="B88" s="1198" t="n"/>
      <c r="C88" s="1198" t="n"/>
      <c r="D88" s="1198" t="n"/>
      <c r="E88" s="1198" t="n"/>
      <c r="F88" s="1199" t="n"/>
      <c r="G88" s="1305" t="n"/>
      <c r="H88" s="1198" t="n"/>
      <c r="I88" s="1198" t="n"/>
      <c r="J88" s="1199" t="n"/>
      <c r="K88" s="1305" t="inlineStr">
        <is>
          <t>g</t>
        </is>
      </c>
      <c r="L88" s="1306" t="n"/>
      <c r="M88" s="1198" t="n"/>
      <c r="N88" s="1198" t="n"/>
      <c r="O88" s="1198" t="n"/>
      <c r="P88" s="1199" t="n"/>
      <c r="Q88" s="1138" t="n"/>
      <c r="R88" s="1139" t="n"/>
      <c r="S88" s="1139" t="n"/>
      <c r="T88" s="1139" t="n"/>
      <c r="U88" s="1188" t="n"/>
    </row>
    <row r="89" ht="18.75" customFormat="1" customHeight="1" s="1221">
      <c r="A89" s="1307" t="inlineStr">
        <is>
          <t>Additions Cellar</t>
        </is>
      </c>
      <c r="B89" s="1114" t="n"/>
      <c r="C89" s="1114" t="n"/>
      <c r="D89" s="1114" t="n"/>
      <c r="E89" s="1114" t="n"/>
      <c r="F89" s="1114" t="n"/>
      <c r="G89" s="1114" t="n"/>
      <c r="H89" s="1114" t="n"/>
      <c r="I89" s="1114" t="n"/>
      <c r="J89" s="1114" t="n"/>
      <c r="K89" s="1114" t="n"/>
      <c r="L89" s="1114" t="n"/>
      <c r="M89" s="1114" t="n"/>
      <c r="N89" s="1114" t="n"/>
      <c r="O89" s="1114" t="n"/>
      <c r="P89" s="1115" t="n"/>
      <c r="Q89" s="1138" t="n"/>
      <c r="R89" s="1139" t="n"/>
      <c r="S89" s="1139" t="n"/>
      <c r="T89" s="1139" t="n"/>
      <c r="U89" s="1188" t="n"/>
    </row>
    <row r="90" ht="15" customFormat="1" customHeight="1" s="1221">
      <c r="A90" s="1285" t="inlineStr">
        <is>
          <t>Type</t>
        </is>
      </c>
      <c r="B90" s="1114" t="n"/>
      <c r="C90" s="1114" t="n"/>
      <c r="D90" s="1115" t="n"/>
      <c r="E90" s="1286" t="inlineStr">
        <is>
          <t>Ratio</t>
        </is>
      </c>
      <c r="F90" s="1114" t="n"/>
      <c r="G90" s="1114" t="inlineStr">
        <is>
          <t>Per batch</t>
        </is>
      </c>
      <c r="H90" s="1114" t="n"/>
      <c r="I90" s="1287" t="inlineStr">
        <is>
          <t>When</t>
        </is>
      </c>
      <c r="J90" s="1114" t="n"/>
      <c r="K90" s="1115" t="n"/>
      <c r="L90" s="1288" t="inlineStr">
        <is>
          <t>Lotnummer</t>
        </is>
      </c>
      <c r="M90" s="1080" t="n"/>
      <c r="N90" s="1080" t="n"/>
      <c r="O90" s="1080" t="n"/>
      <c r="P90" s="1081" t="n"/>
      <c r="Q90" s="1138" t="n"/>
      <c r="R90" s="1139" t="n"/>
      <c r="S90" s="1139" t="n"/>
      <c r="T90" s="1139" t="n"/>
      <c r="U90" s="1188" t="n"/>
    </row>
    <row r="91" ht="15" customFormat="1" customHeight="1" s="1221">
      <c r="A91" s="1289" t="n"/>
      <c r="B91" s="1177" t="n"/>
      <c r="C91" s="1177" t="n"/>
      <c r="D91" s="1178" t="n"/>
      <c r="E91" s="1308" t="n"/>
      <c r="F91" s="1177" t="n"/>
      <c r="G91" s="1177" t="n"/>
      <c r="H91" s="1177" t="n"/>
      <c r="I91" s="1291" t="n"/>
      <c r="J91" s="1223" t="n"/>
      <c r="K91" s="1224" t="n"/>
      <c r="L91" s="1309" t="n"/>
      <c r="M91" s="1223" t="n"/>
      <c r="N91" s="1223" t="n"/>
      <c r="O91" s="1223" t="n"/>
      <c r="P91" s="1224" t="n"/>
      <c r="Q91" s="1138" t="n"/>
      <c r="R91" s="1139" t="n"/>
      <c r="S91" s="1139" t="n"/>
      <c r="T91" s="1139" t="n"/>
      <c r="U91" s="1188" t="n"/>
    </row>
    <row r="92" ht="15" customFormat="1" customHeight="1" s="1221">
      <c r="A92" s="1289" t="n"/>
      <c r="B92" s="1177" t="n"/>
      <c r="C92" s="1177" t="n"/>
      <c r="D92" s="1178" t="n"/>
      <c r="E92" s="1308" t="n"/>
      <c r="F92" s="1177" t="n"/>
      <c r="G92" s="1177" t="n"/>
      <c r="H92" s="1177" t="n"/>
      <c r="I92" s="1289" t="n"/>
      <c r="J92" s="1177" t="n"/>
      <c r="K92" s="1178" t="n"/>
      <c r="L92" s="1292" t="n"/>
      <c r="M92" s="1177" t="n"/>
      <c r="N92" s="1177" t="n"/>
      <c r="O92" s="1177" t="n"/>
      <c r="P92" s="1178" t="n"/>
      <c r="Q92" s="1138" t="n"/>
      <c r="R92" s="1139" t="n"/>
      <c r="S92" s="1139" t="n"/>
      <c r="T92" s="1139" t="n"/>
      <c r="U92" s="1188" t="n"/>
    </row>
    <row r="93" ht="15" customFormat="1" customHeight="1" s="1310">
      <c r="A93" s="1289" t="n"/>
      <c r="B93" s="1177" t="n"/>
      <c r="C93" s="1177" t="n"/>
      <c r="D93" s="1178" t="n"/>
      <c r="E93" s="1308" t="n"/>
      <c r="F93" s="1177" t="n"/>
      <c r="G93" s="1177" t="n"/>
      <c r="H93" s="1177" t="n"/>
      <c r="I93" s="1289" t="n"/>
      <c r="J93" s="1177" t="n"/>
      <c r="K93" s="1178" t="n"/>
      <c r="L93" s="1292" t="n"/>
      <c r="M93" s="1177" t="n"/>
      <c r="N93" s="1177" t="n"/>
      <c r="O93" s="1177" t="n"/>
      <c r="P93" s="1178" t="n"/>
      <c r="Q93" s="1138" t="n"/>
      <c r="R93" s="1139" t="n"/>
      <c r="S93" s="1139" t="n"/>
      <c r="T93" s="1139" t="n"/>
      <c r="U93" s="1188" t="n"/>
    </row>
    <row r="94" ht="15" customFormat="1" customHeight="1" s="1310">
      <c r="A94" s="1289" t="n"/>
      <c r="B94" s="1177" t="n"/>
      <c r="C94" s="1177" t="n"/>
      <c r="D94" s="1178" t="n"/>
      <c r="E94" s="1308" t="n"/>
      <c r="F94" s="1177" t="n"/>
      <c r="G94" s="1177" t="n"/>
      <c r="H94" s="1177" t="n"/>
      <c r="I94" s="1289" t="n"/>
      <c r="J94" s="1177" t="n"/>
      <c r="K94" s="1178" t="n"/>
      <c r="L94" s="1292" t="n"/>
      <c r="M94" s="1177" t="n"/>
      <c r="N94" s="1177" t="n"/>
      <c r="O94" s="1177" t="n"/>
      <c r="P94" s="1178" t="n"/>
      <c r="Q94" s="1138" t="n"/>
      <c r="R94" s="1139" t="n"/>
      <c r="S94" s="1139" t="n"/>
      <c r="T94" s="1139" t="n"/>
      <c r="U94" s="1188" t="n"/>
    </row>
    <row r="95" ht="15" customFormat="1" customHeight="1" s="1310">
      <c r="A95" s="1289" t="n"/>
      <c r="B95" s="1177" t="n"/>
      <c r="C95" s="1177" t="n"/>
      <c r="D95" s="1178" t="n"/>
      <c r="E95" s="1308" t="n"/>
      <c r="F95" s="1177" t="n"/>
      <c r="G95" s="1177" t="n"/>
      <c r="H95" s="1177" t="n"/>
      <c r="I95" s="1311" t="n"/>
      <c r="J95" s="1198" t="n"/>
      <c r="K95" s="1199" t="n"/>
      <c r="L95" s="1312" t="n"/>
      <c r="M95" s="1198" t="n"/>
      <c r="N95" s="1198" t="n"/>
      <c r="O95" s="1198" t="n"/>
      <c r="P95" s="1199" t="n"/>
      <c r="Q95" s="1138" t="n"/>
      <c r="R95" s="1139" t="n"/>
      <c r="S95" s="1139" t="n"/>
      <c r="T95" s="1139" t="n"/>
      <c r="U95" s="1188" t="n"/>
    </row>
    <row r="96" ht="18.75" customFormat="1" customHeight="1" s="1313">
      <c r="A96" s="1314" t="inlineStr">
        <is>
          <t>Target Water Profile(values in PPM)</t>
        </is>
      </c>
      <c r="B96" s="1315" t="n"/>
      <c r="C96" s="1315" t="n"/>
      <c r="D96" s="1315" t="n"/>
      <c r="E96" s="1315" t="n"/>
      <c r="F96" s="1315" t="n"/>
      <c r="G96" s="1315" t="n"/>
      <c r="H96" s="1315" t="n"/>
      <c r="I96" s="1315" t="n"/>
      <c r="J96" s="1315" t="n"/>
      <c r="K96" s="1315" t="n"/>
      <c r="L96" s="1315" t="n"/>
      <c r="M96" s="1315" t="n"/>
      <c r="N96" s="1315" t="n"/>
      <c r="O96" s="1315" t="n"/>
      <c r="P96" s="1316" t="n"/>
      <c r="Q96" s="1317" t="n"/>
      <c r="R96" s="1318" t="n"/>
      <c r="S96" s="1318" t="n"/>
      <c r="T96" s="1318" t="n"/>
      <c r="U96" s="1319" t="n"/>
    </row>
    <row r="97" ht="12.75" customFormat="1" customHeight="1" s="1313">
      <c r="A97" s="1320" t="inlineStr">
        <is>
          <t>Ca</t>
        </is>
      </c>
      <c r="B97" s="1321" t="n"/>
      <c r="C97" s="1321" t="inlineStr">
        <is>
          <t>Mg</t>
        </is>
      </c>
      <c r="D97" s="1321" t="n"/>
      <c r="E97" s="1321" t="inlineStr">
        <is>
          <t>Na</t>
        </is>
      </c>
      <c r="F97" s="1321" t="n"/>
      <c r="G97" s="1321" t="inlineStr">
        <is>
          <t>Cl</t>
        </is>
      </c>
      <c r="H97" s="1321" t="n"/>
      <c r="I97" s="1321" t="n"/>
      <c r="J97" s="1321" t="inlineStr">
        <is>
          <t>SO4</t>
        </is>
      </c>
      <c r="K97" s="1321" t="n"/>
      <c r="L97" s="1321" t="n"/>
      <c r="M97" s="1321" t="inlineStr">
        <is>
          <t>Ratio Cl:SO4</t>
        </is>
      </c>
      <c r="N97" s="1321" t="n"/>
      <c r="O97" s="1321" t="n"/>
      <c r="P97" s="1322" t="inlineStr">
        <is>
          <t>Alkalinity</t>
        </is>
      </c>
      <c r="Q97" s="1317" t="n"/>
      <c r="R97" s="1318" t="n"/>
      <c r="S97" s="1318" t="n"/>
      <c r="T97" s="1318" t="n"/>
      <c r="U97" s="1319" t="n"/>
    </row>
    <row r="98" ht="5.25" customFormat="1" customHeight="1" s="1313">
      <c r="A98" s="1323" t="n"/>
      <c r="B98" s="1324" t="n"/>
      <c r="C98" s="1324" t="n"/>
      <c r="D98" s="1324" t="n"/>
      <c r="E98" s="1324" t="n"/>
      <c r="F98" s="1324" t="n"/>
      <c r="G98" s="1324" t="n"/>
      <c r="H98" s="1324" t="n"/>
      <c r="I98" s="1324" t="n"/>
      <c r="J98" s="1324" t="n"/>
      <c r="K98" s="1324" t="n"/>
      <c r="L98" s="1324" t="n"/>
      <c r="M98" s="1324" t="n"/>
      <c r="N98" s="1324" t="n"/>
      <c r="O98" s="1324" t="n"/>
      <c r="P98" s="1325" t="n"/>
      <c r="Q98" s="1317" t="n"/>
      <c r="R98" s="1318" t="n"/>
      <c r="S98" s="1318" t="n"/>
      <c r="T98" s="1318" t="n"/>
      <c r="U98" s="1319" t="n"/>
    </row>
    <row r="99" ht="12.75" customFormat="1" customHeight="1" s="1313">
      <c r="A99" s="1326" t="n"/>
      <c r="B99" s="1326" t="n"/>
      <c r="C99" s="1326" t="n"/>
      <c r="D99" s="1326" t="n"/>
      <c r="E99" s="1326" t="n"/>
      <c r="F99" s="1326" t="n"/>
      <c r="G99" s="1326" t="n"/>
      <c r="H99" s="1326" t="n"/>
      <c r="I99" s="1326" t="n"/>
      <c r="J99" s="1326" t="n"/>
      <c r="K99" s="1326" t="n"/>
      <c r="L99" s="1326" t="n"/>
      <c r="M99" s="1327" t="n"/>
      <c r="N99" s="1326" t="n"/>
      <c r="O99" s="1326" t="n"/>
      <c r="P99" s="1328" t="n"/>
      <c r="Q99" s="1317" t="n"/>
      <c r="R99" s="1318" t="n"/>
      <c r="S99" s="1318" t="n"/>
      <c r="T99" s="1318" t="n"/>
      <c r="U99" s="1319" t="n"/>
    </row>
    <row r="100" ht="6" customFormat="1" customHeight="1" s="1313">
      <c r="A100" s="1329" t="n"/>
      <c r="B100" s="1093" t="n"/>
      <c r="C100" s="1093" t="n"/>
      <c r="D100" s="1093" t="n"/>
      <c r="E100" s="1093" t="n"/>
      <c r="F100" s="1093" t="n"/>
      <c r="G100" s="1093" t="n"/>
      <c r="H100" s="1093" t="n"/>
      <c r="I100" s="1093" t="n"/>
      <c r="J100" s="1093" t="n"/>
      <c r="K100" s="1093" t="n"/>
      <c r="L100" s="1093" t="n"/>
      <c r="M100" s="1093" t="n"/>
      <c r="N100" s="1093" t="n"/>
      <c r="O100" s="1093" t="n"/>
      <c r="P100" s="1094" t="n"/>
      <c r="Q100" s="1317" t="n"/>
      <c r="R100" s="1318" t="n"/>
      <c r="S100" s="1318" t="n"/>
      <c r="T100" s="1318" t="n"/>
      <c r="U100" s="1319" t="n"/>
    </row>
    <row r="101" ht="18.75" customFormat="1" customHeight="1" s="1310">
      <c r="A101" s="1330" t="inlineStr">
        <is>
          <t>Revisie nummer</t>
        </is>
      </c>
      <c r="B101" s="1114" t="n"/>
      <c r="C101" s="1114" t="n"/>
      <c r="D101" s="1114" t="n"/>
      <c r="E101" s="1114" t="n"/>
      <c r="F101" s="1114" t="n"/>
      <c r="G101" s="1114" t="n"/>
      <c r="H101" s="1114" t="n"/>
      <c r="I101" s="1114" t="n"/>
      <c r="J101" s="1114" t="n"/>
      <c r="K101" s="1114" t="n"/>
      <c r="L101" s="1114" t="n"/>
      <c r="M101" s="1114" t="n"/>
      <c r="N101" s="1114" t="n"/>
      <c r="O101" s="1114" t="n"/>
      <c r="P101" s="1115" t="n"/>
      <c r="Q101" s="1138" t="n"/>
      <c r="R101" s="1139" t="n"/>
      <c r="S101" s="1139" t="n"/>
      <c r="T101" s="1139" t="n"/>
      <c r="U101" s="1187" t="n"/>
    </row>
    <row r="102" ht="15" customFormat="1" customHeight="1" s="1331">
      <c r="A102" s="1298" t="inlineStr">
        <is>
          <t>Revisie nummer</t>
        </is>
      </c>
      <c r="B102" s="1114" t="n"/>
      <c r="C102" s="1115" t="n"/>
      <c r="D102" s="1332" t="inlineStr">
        <is>
          <t>Wijziging</t>
        </is>
      </c>
      <c r="E102" s="1333" t="n"/>
      <c r="F102" s="1333" t="n"/>
      <c r="G102" s="1333" t="n"/>
      <c r="H102" s="1333" t="n"/>
      <c r="I102" s="1333" t="n"/>
      <c r="J102" s="1333" t="n"/>
      <c r="K102" s="1333" t="n"/>
      <c r="L102" s="1333" t="n"/>
      <c r="M102" s="1333" t="n"/>
      <c r="N102" s="1296" t="inlineStr">
        <is>
          <t>Datum</t>
        </is>
      </c>
      <c r="O102" s="1114" t="n"/>
      <c r="P102" s="1334" t="inlineStr">
        <is>
          <t>Door</t>
        </is>
      </c>
      <c r="Q102" s="1138" t="n"/>
      <c r="R102" s="1139" t="n"/>
      <c r="S102" s="1139" t="n"/>
      <c r="T102" s="1139" t="n"/>
      <c r="U102" s="1157" t="n"/>
    </row>
    <row r="103" ht="15" customFormat="1" customHeight="1" s="1073">
      <c r="A103" s="1335" t="n"/>
      <c r="B103" s="1223" t="n"/>
      <c r="C103" s="1224" t="n"/>
      <c r="D103" s="1233" t="n"/>
      <c r="E103" s="1177" t="n"/>
      <c r="F103" s="1177" t="n"/>
      <c r="G103" s="1177" t="n"/>
      <c r="H103" s="1177" t="n"/>
      <c r="I103" s="1177" t="n"/>
      <c r="J103" s="1177" t="n"/>
      <c r="K103" s="1177" t="n"/>
      <c r="L103" s="1177" t="n"/>
      <c r="M103" s="1178" t="n"/>
      <c r="N103" s="1336" t="n"/>
      <c r="O103" s="1224" t="n"/>
      <c r="P103" s="1303" t="n"/>
      <c r="Q103" s="1138" t="n"/>
      <c r="R103" s="1139" t="n"/>
      <c r="S103" s="1139" t="n"/>
      <c r="T103" s="1139" t="n"/>
      <c r="U103" s="1157" t="n"/>
    </row>
    <row r="104" ht="15" customFormat="1" customHeight="1" s="1073">
      <c r="A104" s="1337" t="n"/>
      <c r="B104" s="1177" t="n"/>
      <c r="C104" s="1178" t="n"/>
      <c r="D104" s="1233" t="n"/>
      <c r="E104" s="1177" t="n"/>
      <c r="F104" s="1177" t="n"/>
      <c r="G104" s="1177" t="n"/>
      <c r="H104" s="1177" t="n"/>
      <c r="I104" s="1177" t="n"/>
      <c r="J104" s="1177" t="n"/>
      <c r="K104" s="1177" t="n"/>
      <c r="L104" s="1177" t="n"/>
      <c r="M104" s="1178" t="n"/>
      <c r="N104" s="1338" t="n"/>
      <c r="O104" s="1178" t="n"/>
      <c r="P104" s="1337" t="n"/>
      <c r="Q104" s="1138" t="n"/>
      <c r="R104" s="1139" t="n"/>
      <c r="S104" s="1139" t="n"/>
      <c r="T104" s="1139" t="n"/>
      <c r="U104" s="1157" t="n"/>
    </row>
    <row r="105" ht="15" customFormat="1" customHeight="1" s="1073">
      <c r="A105" s="1337" t="n"/>
      <c r="B105" s="1177" t="n"/>
      <c r="C105" s="1178" t="n"/>
      <c r="D105" s="1233" t="n"/>
      <c r="E105" s="1177" t="n"/>
      <c r="F105" s="1177" t="n"/>
      <c r="G105" s="1177" t="n"/>
      <c r="H105" s="1177" t="n"/>
      <c r="I105" s="1177" t="n"/>
      <c r="J105" s="1177" t="n"/>
      <c r="K105" s="1177" t="n"/>
      <c r="L105" s="1177" t="n"/>
      <c r="M105" s="1178" t="n"/>
      <c r="N105" s="1338" t="n"/>
      <c r="O105" s="1178" t="n"/>
      <c r="P105" s="1337" t="n"/>
      <c r="Q105" s="1138" t="n"/>
      <c r="R105" s="1139" t="n"/>
      <c r="S105" s="1139" t="n"/>
      <c r="T105" s="1139" t="n"/>
      <c r="U105" s="1157" t="n"/>
    </row>
    <row r="106" ht="15" customFormat="1" customHeight="1" s="1073">
      <c r="A106" s="1337" t="n"/>
      <c r="B106" s="1177" t="n"/>
      <c r="C106" s="1178" t="n"/>
      <c r="D106" s="1233" t="n"/>
      <c r="E106" s="1177" t="n"/>
      <c r="F106" s="1177" t="n"/>
      <c r="G106" s="1177" t="n"/>
      <c r="H106" s="1177" t="n"/>
      <c r="I106" s="1177" t="n"/>
      <c r="J106" s="1177" t="n"/>
      <c r="K106" s="1177" t="n"/>
      <c r="L106" s="1177" t="n"/>
      <c r="M106" s="1178" t="n"/>
      <c r="N106" s="1338" t="n"/>
      <c r="O106" s="1178" t="n"/>
      <c r="P106" s="1337" t="n"/>
      <c r="Q106" s="1138" t="n"/>
      <c r="R106" s="1139" t="n"/>
      <c r="S106" s="1139" t="n"/>
      <c r="T106" s="1139" t="n"/>
      <c r="U106" s="1157" t="n"/>
    </row>
    <row r="107" ht="15" customFormat="1" customHeight="1" s="1073">
      <c r="A107" s="1305" t="n"/>
      <c r="B107" s="1198" t="n"/>
      <c r="C107" s="1199" t="n"/>
      <c r="D107" s="1305" t="n"/>
      <c r="E107" s="1198" t="n"/>
      <c r="F107" s="1198" t="n"/>
      <c r="G107" s="1198" t="n"/>
      <c r="H107" s="1198" t="n"/>
      <c r="I107" s="1198" t="n"/>
      <c r="J107" s="1198" t="n"/>
      <c r="K107" s="1198" t="n"/>
      <c r="L107" s="1198" t="n"/>
      <c r="M107" s="1198" t="n"/>
      <c r="N107" s="1198" t="n"/>
      <c r="O107" s="1198" t="n"/>
      <c r="P107" s="1199" t="n"/>
      <c r="Q107" s="1138" t="n"/>
      <c r="R107" s="1139" t="n"/>
      <c r="S107" s="1139" t="n"/>
      <c r="T107" s="1139" t="n"/>
      <c r="U107" s="1157" t="n"/>
    </row>
    <row r="108" ht="15" customHeight="1" s="1339">
      <c r="A108" s="1340" t="n"/>
      <c r="B108" s="1099" t="n"/>
      <c r="C108" s="1099" t="n"/>
      <c r="D108" s="1099" t="n"/>
      <c r="E108" s="1099" t="n"/>
      <c r="F108" s="1099" t="n"/>
      <c r="G108" s="1099" t="n"/>
      <c r="H108" s="1139" t="n"/>
      <c r="I108" s="1139" t="n"/>
      <c r="J108" s="1139" t="n"/>
      <c r="K108" s="1139" t="n"/>
      <c r="L108" s="1341" t="n"/>
      <c r="M108" s="1099" t="n"/>
      <c r="N108" s="1099" t="n"/>
      <c r="O108" s="1099" t="n"/>
      <c r="P108" s="1099" t="n"/>
      <c r="Q108" s="1138" t="n"/>
      <c r="R108" s="1139" t="n"/>
      <c r="S108" s="1139" t="n"/>
      <c r="T108" s="1139" t="n"/>
      <c r="U108" s="1157" t="n"/>
    </row>
    <row r="109" ht="15" customHeight="1" s="1339">
      <c r="C109" s="1342" t="inlineStr">
        <is>
          <t xml:space="preserve"> </t>
        </is>
      </c>
      <c r="D109" s="1139" t="inlineStr">
        <is>
          <t xml:space="preserve"> </t>
        </is>
      </c>
      <c r="E109" s="1139" t="inlineStr">
        <is>
          <t xml:space="preserve"> </t>
        </is>
      </c>
      <c r="F109" s="1139" t="inlineStr">
        <is>
          <t xml:space="preserve"> </t>
        </is>
      </c>
      <c r="G109" s="1139" t="inlineStr">
        <is>
          <t xml:space="preserve"> </t>
        </is>
      </c>
      <c r="H109" s="1343" t="inlineStr">
        <is>
          <t xml:space="preserve"> </t>
        </is>
      </c>
      <c r="I109" s="1343" t="inlineStr">
        <is>
          <t xml:space="preserve"> </t>
        </is>
      </c>
      <c r="J109" s="1343" t="inlineStr">
        <is>
          <t xml:space="preserve"> </t>
        </is>
      </c>
      <c r="K109" s="1343" t="inlineStr">
        <is>
          <t xml:space="preserve"> </t>
        </is>
      </c>
      <c r="L109" s="1343" t="inlineStr">
        <is>
          <t xml:space="preserve"> </t>
        </is>
      </c>
      <c r="M109" s="1341" t="inlineStr">
        <is>
          <t xml:space="preserve"> </t>
        </is>
      </c>
      <c r="N109" s="1344" t="inlineStr">
        <is>
          <t xml:space="preserve"> </t>
        </is>
      </c>
      <c r="O109" s="1344" t="inlineStr">
        <is>
          <t xml:space="preserve"> </t>
        </is>
      </c>
      <c r="P109" s="1343" t="inlineStr">
        <is>
          <t xml:space="preserve"> </t>
        </is>
      </c>
      <c r="Q109" s="1138" t="n"/>
      <c r="R109" s="1139" t="n"/>
      <c r="S109" s="1139" t="n"/>
      <c r="T109" s="1139" t="n"/>
      <c r="U109" s="1139" t="n"/>
      <c r="V109" s="1343" t="n"/>
      <c r="W109" s="1343" t="n"/>
      <c r="X109" s="1343" t="n"/>
      <c r="Y109" s="1343" t="n"/>
      <c r="Z109" s="1343" t="n"/>
      <c r="AA109" s="1343" t="n"/>
      <c r="AB109" s="1343" t="n"/>
      <c r="AC109" s="1343" t="n"/>
      <c r="AD109" s="1343" t="n"/>
      <c r="AE109" s="1343" t="n"/>
      <c r="AF109" s="1343" t="n"/>
      <c r="AG109" s="1343" t="n"/>
    </row>
  </sheetData>
  <mergeCells count="317">
    <mergeCell ref="N103:O103"/>
    <mergeCell ref="L50:O50"/>
    <mergeCell ref="D104:M104"/>
    <mergeCell ref="N102:O102"/>
    <mergeCell ref="G62:I62"/>
    <mergeCell ref="A21:C21"/>
    <mergeCell ref="L52:O52"/>
    <mergeCell ref="A57:C57"/>
    <mergeCell ref="A28:P28"/>
    <mergeCell ref="A58:D58"/>
    <mergeCell ref="A23:C23"/>
    <mergeCell ref="I30:O30"/>
    <mergeCell ref="L95:P95"/>
    <mergeCell ref="A75:D75"/>
    <mergeCell ref="Q63:R63"/>
    <mergeCell ref="A60:D60"/>
    <mergeCell ref="A52:C52"/>
    <mergeCell ref="E90:F90"/>
    <mergeCell ref="G90:H90"/>
    <mergeCell ref="E84:F84"/>
    <mergeCell ref="G84:H84"/>
    <mergeCell ref="A34:C34"/>
    <mergeCell ref="L45:O45"/>
    <mergeCell ref="A49:C49"/>
    <mergeCell ref="L55:O55"/>
    <mergeCell ref="E53:F53"/>
    <mergeCell ref="E55:F55"/>
    <mergeCell ref="I46:J46"/>
    <mergeCell ref="G7:G8"/>
    <mergeCell ref="A55:C55"/>
    <mergeCell ref="E48:F48"/>
    <mergeCell ref="G48:H48"/>
    <mergeCell ref="E77:F77"/>
    <mergeCell ref="G77:H77"/>
    <mergeCell ref="I54:J54"/>
    <mergeCell ref="G12:J12"/>
    <mergeCell ref="A85:P85"/>
    <mergeCell ref="N104:O104"/>
    <mergeCell ref="A29:C29"/>
    <mergeCell ref="I56:J56"/>
    <mergeCell ref="I43:J43"/>
    <mergeCell ref="A81:D81"/>
    <mergeCell ref="A44:C44"/>
    <mergeCell ref="I70:L70"/>
    <mergeCell ref="A31:C31"/>
    <mergeCell ref="N17:P20"/>
    <mergeCell ref="A24:C24"/>
    <mergeCell ref="A65:P65"/>
    <mergeCell ref="A76:D76"/>
    <mergeCell ref="E92:F92"/>
    <mergeCell ref="G92:H92"/>
    <mergeCell ref="A78:D78"/>
    <mergeCell ref="I77:K77"/>
    <mergeCell ref="L59:O59"/>
    <mergeCell ref="L46:O46"/>
    <mergeCell ref="G25:J25"/>
    <mergeCell ref="A50:C50"/>
    <mergeCell ref="A63:D63"/>
    <mergeCell ref="A42:C42"/>
    <mergeCell ref="G58:I58"/>
    <mergeCell ref="L61:O61"/>
    <mergeCell ref="L48:O48"/>
    <mergeCell ref="A94:D94"/>
    <mergeCell ref="A69:D69"/>
    <mergeCell ref="L43:O43"/>
    <mergeCell ref="G13:J13"/>
    <mergeCell ref="G51:H51"/>
    <mergeCell ref="E80:F80"/>
    <mergeCell ref="G80:H80"/>
    <mergeCell ref="I51:J51"/>
    <mergeCell ref="A91:D91"/>
    <mergeCell ref="G15:J15"/>
    <mergeCell ref="E82:F82"/>
    <mergeCell ref="G82:H82"/>
    <mergeCell ref="I39:O39"/>
    <mergeCell ref="L84:P84"/>
    <mergeCell ref="E42:F42"/>
    <mergeCell ref="E83:F83"/>
    <mergeCell ref="G83:H83"/>
    <mergeCell ref="L77:P77"/>
    <mergeCell ref="M66:P66"/>
    <mergeCell ref="A84:D84"/>
    <mergeCell ref="G60:I60"/>
    <mergeCell ref="A87:E87"/>
    <mergeCell ref="L62:O62"/>
    <mergeCell ref="A66:D66"/>
    <mergeCell ref="A101:P101"/>
    <mergeCell ref="N16:P16"/>
    <mergeCell ref="A45:C45"/>
    <mergeCell ref="L74:P74"/>
    <mergeCell ref="L51:O51"/>
    <mergeCell ref="I67:L67"/>
    <mergeCell ref="E47:F47"/>
    <mergeCell ref="K7:M8"/>
    <mergeCell ref="A46:C46"/>
    <mergeCell ref="A74:D74"/>
    <mergeCell ref="A107:C107"/>
    <mergeCell ref="A26:C26"/>
    <mergeCell ref="A88:F88"/>
    <mergeCell ref="E63:F63"/>
    <mergeCell ref="I81:K81"/>
    <mergeCell ref="I75:K75"/>
    <mergeCell ref="L87:P87"/>
    <mergeCell ref="I76:K76"/>
    <mergeCell ref="N4:P4"/>
    <mergeCell ref="L86:P86"/>
    <mergeCell ref="L82:P82"/>
    <mergeCell ref="I33:O33"/>
    <mergeCell ref="A73:P73"/>
    <mergeCell ref="I35:O35"/>
    <mergeCell ref="I94:K94"/>
    <mergeCell ref="C7:D8"/>
    <mergeCell ref="A32:C32"/>
    <mergeCell ref="E7:F8"/>
    <mergeCell ref="L75:P75"/>
    <mergeCell ref="I83:K83"/>
    <mergeCell ref="I78:K78"/>
    <mergeCell ref="A16:C16"/>
    <mergeCell ref="L88:P88"/>
    <mergeCell ref="G26:J26"/>
    <mergeCell ref="A93:D93"/>
    <mergeCell ref="A1:P2"/>
    <mergeCell ref="A18:C18"/>
    <mergeCell ref="A95:D95"/>
    <mergeCell ref="A68:D68"/>
    <mergeCell ref="A19:M19"/>
    <mergeCell ref="A47:C47"/>
    <mergeCell ref="A22:C22"/>
    <mergeCell ref="I34:O34"/>
    <mergeCell ref="E59:F59"/>
    <mergeCell ref="I36:O36"/>
    <mergeCell ref="E46:F46"/>
    <mergeCell ref="D107:P107"/>
    <mergeCell ref="E61:F61"/>
    <mergeCell ref="I91:K91"/>
    <mergeCell ref="E54:F54"/>
    <mergeCell ref="G54:H54"/>
    <mergeCell ref="E56:F56"/>
    <mergeCell ref="D105:M105"/>
    <mergeCell ref="G56:H56"/>
    <mergeCell ref="E43:F43"/>
    <mergeCell ref="G43:H43"/>
    <mergeCell ref="E70:H70"/>
    <mergeCell ref="I49:J49"/>
    <mergeCell ref="I29:O29"/>
    <mergeCell ref="I31:O31"/>
    <mergeCell ref="A17:C17"/>
    <mergeCell ref="A53:C53"/>
    <mergeCell ref="C9:D9"/>
    <mergeCell ref="G27:J27"/>
    <mergeCell ref="L94:P94"/>
    <mergeCell ref="A100:P100"/>
    <mergeCell ref="A48:C48"/>
    <mergeCell ref="H7:J8"/>
    <mergeCell ref="G29:H29"/>
    <mergeCell ref="L54:O54"/>
    <mergeCell ref="A37:C37"/>
    <mergeCell ref="E62:F62"/>
    <mergeCell ref="L56:O56"/>
    <mergeCell ref="E9:J9"/>
    <mergeCell ref="L49:O49"/>
    <mergeCell ref="E64:F64"/>
    <mergeCell ref="E51:F51"/>
    <mergeCell ref="I40:L40"/>
    <mergeCell ref="G57:H57"/>
    <mergeCell ref="A64:D64"/>
    <mergeCell ref="A43:C43"/>
    <mergeCell ref="G63:I63"/>
    <mergeCell ref="E81:F81"/>
    <mergeCell ref="G81:H81"/>
    <mergeCell ref="I42:J42"/>
    <mergeCell ref="K58:K63"/>
    <mergeCell ref="M70:P70"/>
    <mergeCell ref="E75:F75"/>
    <mergeCell ref="G75:H75"/>
    <mergeCell ref="I52:J52"/>
    <mergeCell ref="I32:O32"/>
    <mergeCell ref="N40:O40"/>
    <mergeCell ref="I44:J44"/>
    <mergeCell ref="I66:L66"/>
    <mergeCell ref="K9:M9"/>
    <mergeCell ref="E76:F76"/>
    <mergeCell ref="G76:H76"/>
    <mergeCell ref="I68:L68"/>
    <mergeCell ref="A62:D62"/>
    <mergeCell ref="R3:U14"/>
    <mergeCell ref="I57:J57"/>
    <mergeCell ref="A59:D59"/>
    <mergeCell ref="G21:J21"/>
    <mergeCell ref="E67:H67"/>
    <mergeCell ref="A38:C38"/>
    <mergeCell ref="L57:O57"/>
    <mergeCell ref="A13:C13"/>
    <mergeCell ref="A61:D61"/>
    <mergeCell ref="A90:D90"/>
    <mergeCell ref="A96:P96"/>
    <mergeCell ref="A40:C40"/>
    <mergeCell ref="A15:C15"/>
    <mergeCell ref="L42:O42"/>
    <mergeCell ref="A89:P89"/>
    <mergeCell ref="A92:D92"/>
    <mergeCell ref="A51:C51"/>
    <mergeCell ref="E58:F58"/>
    <mergeCell ref="N106:O106"/>
    <mergeCell ref="I45:J45"/>
    <mergeCell ref="E78:F78"/>
    <mergeCell ref="G78:H78"/>
    <mergeCell ref="L80:P80"/>
    <mergeCell ref="I47:J47"/>
    <mergeCell ref="N23:P25"/>
    <mergeCell ref="I69:L69"/>
    <mergeCell ref="A86:E86"/>
    <mergeCell ref="G11:J11"/>
    <mergeCell ref="A5:D6"/>
    <mergeCell ref="L47:O47"/>
    <mergeCell ref="E94:F94"/>
    <mergeCell ref="G94:H94"/>
    <mergeCell ref="A80:D80"/>
    <mergeCell ref="A30:C30"/>
    <mergeCell ref="A82:D82"/>
    <mergeCell ref="A7:B8"/>
    <mergeCell ref="L58:O58"/>
    <mergeCell ref="E91:F91"/>
    <mergeCell ref="G91:H91"/>
    <mergeCell ref="A54:C54"/>
    <mergeCell ref="L60:O60"/>
    <mergeCell ref="G64:J64"/>
    <mergeCell ref="A56:C56"/>
    <mergeCell ref="A27:C27"/>
    <mergeCell ref="E74:F74"/>
    <mergeCell ref="G74:H74"/>
    <mergeCell ref="K3:M4"/>
    <mergeCell ref="G53:H53"/>
    <mergeCell ref="I53:J53"/>
    <mergeCell ref="I55:J55"/>
    <mergeCell ref="L81:P81"/>
    <mergeCell ref="I48:J48"/>
    <mergeCell ref="A41:P41"/>
    <mergeCell ref="I79:K79"/>
    <mergeCell ref="A77:D77"/>
    <mergeCell ref="A36:C36"/>
    <mergeCell ref="A11:C11"/>
    <mergeCell ref="L83:P83"/>
    <mergeCell ref="G86:K86"/>
    <mergeCell ref="M64:O64"/>
    <mergeCell ref="G14:J14"/>
    <mergeCell ref="I74:K74"/>
    <mergeCell ref="A83:D83"/>
    <mergeCell ref="I90:K90"/>
    <mergeCell ref="L76:P76"/>
    <mergeCell ref="I84:K84"/>
    <mergeCell ref="L53:O53"/>
    <mergeCell ref="A70:D70"/>
    <mergeCell ref="L78:P78"/>
    <mergeCell ref="E49:F49"/>
    <mergeCell ref="N105:O105"/>
    <mergeCell ref="Q1:U2"/>
    <mergeCell ref="G44:H44"/>
    <mergeCell ref="A9:B9"/>
    <mergeCell ref="A3:B4"/>
    <mergeCell ref="E93:F93"/>
    <mergeCell ref="G93:H93"/>
    <mergeCell ref="G20:J20"/>
    <mergeCell ref="G87:J87"/>
    <mergeCell ref="A12:C12"/>
    <mergeCell ref="A106:C106"/>
    <mergeCell ref="E95:F95"/>
    <mergeCell ref="G95:H95"/>
    <mergeCell ref="A14:C14"/>
    <mergeCell ref="G88:J88"/>
    <mergeCell ref="L91:P91"/>
    <mergeCell ref="I80:K80"/>
    <mergeCell ref="G49:H49"/>
    <mergeCell ref="L90:P90"/>
    <mergeCell ref="D106:M106"/>
    <mergeCell ref="I92:K92"/>
    <mergeCell ref="I37:O37"/>
    <mergeCell ref="I93:K93"/>
    <mergeCell ref="N21:P21"/>
    <mergeCell ref="L79:P79"/>
    <mergeCell ref="A25:C25"/>
    <mergeCell ref="E50:F50"/>
    <mergeCell ref="L44:O44"/>
    <mergeCell ref="G42:H42"/>
    <mergeCell ref="I95:K95"/>
    <mergeCell ref="A103:C103"/>
    <mergeCell ref="E52:F52"/>
    <mergeCell ref="A10:M10"/>
    <mergeCell ref="E44:F44"/>
    <mergeCell ref="E66:H66"/>
    <mergeCell ref="A79:D79"/>
    <mergeCell ref="M68:P68"/>
    <mergeCell ref="E68:H68"/>
    <mergeCell ref="A20:C20"/>
    <mergeCell ref="M67:P67"/>
    <mergeCell ref="C3:G4"/>
    <mergeCell ref="D103:M103"/>
    <mergeCell ref="M69:P69"/>
    <mergeCell ref="E57:F57"/>
    <mergeCell ref="I82:K82"/>
    <mergeCell ref="L92:P92"/>
    <mergeCell ref="G50:H50"/>
    <mergeCell ref="I50:J50"/>
    <mergeCell ref="H3:J4"/>
    <mergeCell ref="G52:H52"/>
    <mergeCell ref="L93:P93"/>
    <mergeCell ref="I38:O38"/>
    <mergeCell ref="A33:C33"/>
    <mergeCell ref="E5:M6"/>
    <mergeCell ref="A102:C102"/>
    <mergeCell ref="A35:C35"/>
    <mergeCell ref="E60:F60"/>
    <mergeCell ref="A104:C104"/>
    <mergeCell ref="E45:F45"/>
    <mergeCell ref="G45:H45"/>
    <mergeCell ref="A39:C39"/>
    <mergeCell ref="G59:I59"/>
    <mergeCell ref="G55:H55"/>
    <mergeCell ref="E69:H69"/>
    <mergeCell ref="G47:H47"/>
    <mergeCell ref="A105:C105"/>
    <mergeCell ref="G61:I61"/>
    <mergeCell ref="G46:H46"/>
    <mergeCell ref="E79:F79"/>
    <mergeCell ref="G79:H79"/>
    <mergeCell ref="L63:O63"/>
    <mergeCell ref="I71:L71"/>
    <mergeCell ref="E71:H71"/>
    <mergeCell ref="M71:P71"/>
    <mergeCell ref="A71:D71"/>
    <mergeCell ref="I72:L72"/>
    <mergeCell ref="E72:H72"/>
    <mergeCell ref="M72:P72"/>
    <mergeCell ref="A72:D72"/>
  </mergeCells>
  <conditionalFormatting sqref="M26">
    <cfRule type="cellIs" rank="0" priority="2" equalAverage="0" operator="lessThan" aboveAverage="0" dxfId="0" text="" percent="0" bottom="0">
      <formula>$K$64</formula>
    </cfRule>
    <cfRule type="cellIs" rank="0" priority="3" equalAverage="0" operator="greaterThan" aboveAverage="0" dxfId="0" text="" percent="0" bottom="0">
      <formula>$K$64</formula>
    </cfRule>
    <cfRule type="cellIs" rank="0" priority="4" equalAverage="0" operator="equal" aboveAverage="0" dxfId="1" text="" percent="0" bottom="0">
      <formula>$K$64</formula>
    </cfRule>
  </conditionalFormatting>
  <conditionalFormatting sqref="J58">
    <cfRule type="expression" rank="0" priority="5" equalAverage="0" aboveAverage="0" dxfId="2" text="" percent="0" bottom="0">
      <formula>G58=0</formula>
    </cfRule>
    <cfRule type="expression" rank="0" priority="6" equalAverage="0" aboveAverage="0" dxfId="3" text="" percent="0" bottom="0">
      <formula>G58="@16C"</formula>
    </cfRule>
    <cfRule type="expression" rank="0" priority="7" equalAverage="0" aboveAverage="0" dxfId="4" text="" percent="0" bottom="0">
      <formula>G58="WARM"</formula>
    </cfRule>
  </conditionalFormatting>
  <conditionalFormatting sqref="J61">
    <cfRule type="expression" rank="0" priority="8" equalAverage="0" aboveAverage="0" dxfId="2" text="" percent="0" bottom="0">
      <formula>G61=0</formula>
    </cfRule>
    <cfRule type="expression" rank="0" priority="9" equalAverage="0" aboveAverage="0" dxfId="3" text="" percent="0" bottom="0">
      <formula>G61="@16C"</formula>
    </cfRule>
    <cfRule type="expression" rank="0" priority="10" equalAverage="0" aboveAverage="0" dxfId="4" text="" percent="0" bottom="0">
      <formula>G61="WARM"</formula>
    </cfRule>
  </conditionalFormatting>
  <conditionalFormatting sqref="J59">
    <cfRule type="expression" rank="0" priority="11" equalAverage="0" aboveAverage="0" dxfId="2" text="" percent="0" bottom="0">
      <formula>G59=0</formula>
    </cfRule>
    <cfRule type="expression" rank="0" priority="12" equalAverage="0" aboveAverage="0" dxfId="3" text="" percent="0" bottom="0">
      <formula>G59="@16C"</formula>
    </cfRule>
    <cfRule type="expression" rank="0" priority="13" equalAverage="0" aboveAverage="0" dxfId="4" text="" percent="0" bottom="0">
      <formula>G59="WARM"</formula>
    </cfRule>
  </conditionalFormatting>
  <conditionalFormatting sqref="G62:I63">
    <cfRule type="containsText" rank="0" priority="14" equalAverage="0" operator="containsText" aboveAverage="0" dxfId="2" text="0" percent="0" bottom="0">
      <formula>NOT(ISERROR(SEARCH("0",G62)))</formula>
    </cfRule>
    <cfRule type="containsText" rank="0" priority="15" equalAverage="0" operator="containsText" aboveAverage="0" dxfId="3" text="Cold" percent="0" bottom="0">
      <formula>NOT(ISERROR(SEARCH("Cold",G62)))</formula>
    </cfRule>
    <cfRule type="containsText" rank="0" priority="16" equalAverage="0" operator="containsText" aboveAverage="0" dxfId="4" text="warm" percent="0" bottom="0">
      <formula>NOT(ISERROR(SEARCH("warm",G62)))</formula>
    </cfRule>
  </conditionalFormatting>
  <conditionalFormatting sqref="N17:P20">
    <cfRule type="containsText" rank="0" priority="17" equalAverage="0" operator="containsText" aboveAverage="0" dxfId="5" text="Suiker en gevaarlijk" percent="0" bottom="0">
      <formula>NOT(ISERROR(SEARCH("Suiker en gevaarlijk",N17)))</formula>
    </cfRule>
    <cfRule type="containsText" rank="0" priority="18" equalAverage="0" operator="containsText" aboveAverage="0" dxfId="6" text="Suikerhoudend" percent="0" bottom="0">
      <formula>NOT(ISERROR(SEARCH("Suikerhoudend",N17)))</formula>
    </cfRule>
    <cfRule type="containsText" rank="0" priority="19" equalAverage="0" operator="containsText" aboveAverage="0" dxfId="7" text="Gevaarlijk" percent="0" bottom="0">
      <formula>NOT(ISERROR(SEARCH("Gevaarlijk",N17)))</formula>
    </cfRule>
    <cfRule type="containsText" rank="0" priority="20" equalAverage="0" operator="containsText" aboveAverage="0" dxfId="8" text="Standaard" percent="0" bottom="0">
      <formula>NOT(ISERROR(SEARCH("Standaard",N17)))</formula>
    </cfRule>
    <cfRule type="containsText" rank="0" priority="21" equalAverage="0" operator="containsText" aboveAverage="0" dxfId="9" text="Gevoelig" percent="0" bottom="0">
      <formula>NOT(ISERROR(SEARCH("Gevoelig",N17)))</formula>
    </cfRule>
  </conditionalFormatting>
  <conditionalFormatting sqref="J62:J63">
    <cfRule type="expression" rank="0" priority="22" equalAverage="0" aboveAverage="0" dxfId="2" text="" percent="0" bottom="0">
      <formula>G62=0</formula>
    </cfRule>
    <cfRule type="expression" rank="0" priority="23" equalAverage="0" aboveAverage="0" dxfId="3" text="" percent="0" bottom="0">
      <formula>G62="@16C"</formula>
    </cfRule>
    <cfRule type="expression" rank="0" priority="24" equalAverage="0" aboveAverage="0" dxfId="4" text="" percent="0" bottom="0">
      <formula>G62="WARM"</formula>
    </cfRule>
  </conditionalFormatting>
  <conditionalFormatting sqref="G61:I61">
    <cfRule type="containsText" rank="0" priority="25" equalAverage="0" operator="containsText" aboveAverage="0" dxfId="2" text="0" percent="0" bottom="0">
      <formula>NOT(ISERROR(SEARCH("0",G61)))</formula>
    </cfRule>
    <cfRule type="containsText" rank="0" priority="26" equalAverage="0" operator="containsText" aboveAverage="0" dxfId="3" text="Cold" percent="0" bottom="0">
      <formula>NOT(ISERROR(SEARCH("Cold",G61)))</formula>
    </cfRule>
    <cfRule type="containsText" rank="0" priority="27" equalAverage="0" operator="containsText" aboveAverage="0" dxfId="4" text="warm" percent="0" bottom="0">
      <formula>NOT(ISERROR(SEARCH("warm",G61)))</formula>
    </cfRule>
  </conditionalFormatting>
  <conditionalFormatting sqref="J60">
    <cfRule type="expression" rank="0" priority="28" equalAverage="0" aboveAverage="0" dxfId="4" text="" percent="0" bottom="0">
      <formula>G60="warm"</formula>
    </cfRule>
    <cfRule type="expression" rank="0" priority="29" equalAverage="0" aboveAverage="0" dxfId="3" text="" percent="0" bottom="0">
      <formula>G60="16C"</formula>
    </cfRule>
    <cfRule type="containsText" rank="0" priority="30" equalAverage="0" operator="containsText" aboveAverage="0" dxfId="2" text="0" percent="0" bottom="0">
      <formula>NOT(ISERROR(SEARCH("0",J60)))</formula>
    </cfRule>
  </conditionalFormatting>
  <conditionalFormatting sqref="G59:I60">
    <cfRule type="containsText" rank="0" priority="31" equalAverage="0" operator="containsText" aboveAverage="0" dxfId="2" text="0" percent="0" bottom="0">
      <formula>NOT(ISERROR(SEARCH("0",G59)))</formula>
    </cfRule>
    <cfRule type="containsText" rank="0" priority="32" equalAverage="0" operator="containsText" aboveAverage="0" dxfId="3" text="Cold" percent="0" bottom="0">
      <formula>NOT(ISERROR(SEARCH("Cold",G59)))</formula>
    </cfRule>
    <cfRule type="containsText" rank="0" priority="33" equalAverage="0" operator="containsText" aboveAverage="0" dxfId="4" text="warm" percent="0" bottom="0">
      <formula>NOT(ISERROR(SEARCH("warm",G59)))</formula>
    </cfRule>
  </conditionalFormatting>
  <conditionalFormatting sqref="G58:I58">
    <cfRule type="containsText" rank="0" priority="34" equalAverage="0" operator="containsText" aboveAverage="0" dxfId="2" text="0" percent="0" bottom="0">
      <formula>NOT(ISERROR(SEARCH("0",G58)))</formula>
    </cfRule>
    <cfRule type="containsText" rank="0" priority="35" equalAverage="0" operator="containsText" aboveAverage="0" dxfId="3" text="Cold" percent="0" bottom="0">
      <formula>NOT(ISERROR(SEARCH("Cold",G58)))</formula>
    </cfRule>
    <cfRule type="containsText" rank="0" priority="36" equalAverage="0" operator="containsText" aboveAverage="0" dxfId="4" text="warm" percent="0" bottom="0">
      <formula>NOT(ISERROR(SEARCH("warm",G58)))</formula>
    </cfRule>
  </conditionalFormatting>
  <conditionalFormatting sqref="N23:P25">
    <cfRule type="containsText" rank="0" priority="37" equalAverage="0" operator="containsText" aboveAverage="0" dxfId="10" text="Te verbeteren" percent="0" bottom="0">
      <formula>NOT(ISERROR(SEARCH("Te verbeteren",N23)))</formula>
    </cfRule>
    <cfRule type="containsText" rank="0" priority="38" equalAverage="0" operator="containsText" aboveAverage="0" dxfId="11" text="Standaard" percent="0" bottom="0">
      <formula>NOT(ISERROR(SEARCH("Standaard",N23)))</formula>
    </cfRule>
    <cfRule type="containsText" rank="0" priority="39" equalAverage="0" operator="containsText" aboveAverage="0" dxfId="12" text="NPI" percent="0" bottom="0">
      <formula>NOT(ISERROR(SEARCH("NPI",N23)))</formula>
    </cfRule>
    <cfRule type="containsText" rank="0" priority="40" equalAverage="0" operator="containsText" aboveAverage="0" dxfId="12" text="Gevaarlijk" percent="0" bottom="0">
      <formula>NOT(ISERROR(SEARCH("Gevaarlijk",N23)))</formula>
    </cfRule>
    <cfRule type="containsText" rank="0" priority="41" equalAverage="0" operator="containsText" aboveAverage="0" dxfId="11" text="Standaard" percent="0" bottom="0">
      <formula>NOT(ISERROR(SEARCH("Standaard",N23)))</formula>
    </cfRule>
    <cfRule type="containsText" rank="0" priority="42" equalAverage="0" operator="containsText" aboveAverage="0" dxfId="10" text="Gevoelig" percent="0" bottom="0">
      <formula>NOT(ISERROR(SEARCH("Gevoelig",N23)))</formula>
    </cfRule>
  </conditionalFormatting>
  <dataValidations count="2">
    <dataValidation sqref="N3 N26:P27" showDropDown="0" showInputMessage="1" showErrorMessage="1" allowBlank="1" errorStyle="stop" operator="between">
      <formula1>0</formula1>
      <formula2>0</formula2>
    </dataValidation>
    <dataValidation sqref="F85" showDropDown="0" showInputMessage="1" showErrorMessage="1" allowBlank="1" type="list" errorStyle="stop" operator="between">
      <formula1>"1,2,3,4,5,6,7,8"</formula1>
      <formula2>0</formula2>
    </dataValidation>
  </dataValidation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portrait" paperSize="9" scale="100" fitToHeight="2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K66"/>
  <sheetViews>
    <sheetView showFormulas="0" showGridLines="1" showRowColHeaders="1" showZeros="1" rightToLeft="0" tabSelected="0" showOutlineSymbols="1" defaultGridColor="1" view="normal" topLeftCell="A6" colorId="64" zoomScale="80" zoomScaleNormal="80" zoomScalePageLayoutView="100" workbookViewId="0">
      <selection pane="topLeft" activeCell="N10" activeCellId="0" sqref="N10"/>
    </sheetView>
  </sheetViews>
  <sheetFormatPr baseColWidth="8" defaultColWidth="8.00390625" defaultRowHeight="12.75" zeroHeight="1" outlineLevelRow="0"/>
  <cols>
    <col width="7.12" customWidth="1" style="1345" min="1" max="2"/>
    <col width="4.12" customWidth="1" style="1345" min="3" max="3"/>
    <col width="5.12" customWidth="1" style="1345" min="4" max="4"/>
    <col width="7.5" customWidth="1" style="1345" min="5" max="5"/>
    <col width="10.5" customWidth="1" style="1345" min="6" max="6"/>
    <col width="6.12" customWidth="1" style="1345" min="7" max="7"/>
    <col width="9" customWidth="1" style="1345" min="8" max="8"/>
    <col width="7.12" customWidth="1" style="1345" min="9" max="9"/>
    <col width="6.5" customWidth="1" style="1345" min="10" max="10"/>
    <col width="7.62" customWidth="1" style="1345" min="11" max="11"/>
    <col width="4.62" customWidth="1" style="1345" min="12" max="12"/>
    <col width="16.12" customWidth="1" style="1345" min="13" max="13"/>
    <col width="5.12" customWidth="1" style="1345" min="14" max="14"/>
    <col width="7.12" customWidth="1" style="1345" min="15" max="15"/>
    <col width="5.12" customWidth="1" style="1345" min="16" max="16"/>
    <col width="6.62" customWidth="1" style="1345" min="17" max="17"/>
    <col width="14.62" customWidth="1" style="1345" min="18" max="18"/>
    <col width="7.62" customWidth="1" style="1345" min="19" max="35"/>
    <col width="8" customWidth="1" style="1346" min="36" max="36"/>
    <col width="8" customWidth="1" style="1347" min="37" max="37"/>
    <col hidden="1" width="8" customWidth="1" style="1348" min="38" max="16384"/>
  </cols>
  <sheetData>
    <row r="1" ht="11.25" customHeight="1" s="1339">
      <c r="A1" s="1349">
        <f>'Recept-voorblad'!Q1</f>
        <v/>
      </c>
      <c r="B1" s="1083" t="n"/>
      <c r="C1" s="1350" t="inlineStr">
        <is>
          <t xml:space="preserve">Brouw specificaties </t>
        </is>
      </c>
      <c r="D1" s="1075" t="n"/>
      <c r="E1" s="1075" t="n"/>
      <c r="F1" s="1075" t="n"/>
      <c r="G1" s="1075" t="n"/>
      <c r="H1" s="1075" t="n"/>
      <c r="I1" s="1075" t="n"/>
      <c r="J1" s="1075" t="n"/>
      <c r="K1" s="1075" t="n"/>
      <c r="L1" s="1075" t="n"/>
      <c r="M1" s="1075" t="n"/>
      <c r="N1" s="1075" t="n"/>
      <c r="O1" s="1075" t="n"/>
      <c r="P1" s="1351" t="inlineStr">
        <is>
          <t>Bier status</t>
        </is>
      </c>
      <c r="Q1" s="1315" t="n"/>
      <c r="R1" s="1316" t="n"/>
      <c r="S1" s="1352" t="inlineStr">
        <is>
          <t xml:space="preserve">Invullen op de brouwdag </t>
        </is>
      </c>
      <c r="T1" s="1106" t="n"/>
      <c r="U1" s="1106" t="n"/>
      <c r="V1" s="1106" t="n"/>
      <c r="W1" s="1106" t="n"/>
      <c r="X1" s="1106" t="n"/>
      <c r="Y1" s="1106" t="n"/>
      <c r="Z1" s="1106" t="n"/>
      <c r="AA1" s="1106" t="n"/>
      <c r="AB1" s="1106" t="n"/>
      <c r="AC1" s="1106" t="n"/>
      <c r="AD1" s="1106" t="n"/>
      <c r="AE1" s="1106" t="n"/>
      <c r="AF1" s="1106" t="n"/>
      <c r="AG1" s="1106" t="n"/>
      <c r="AH1" s="1106" t="n"/>
      <c r="AI1" s="1106" t="n"/>
      <c r="AJ1" s="1107" t="n"/>
    </row>
    <row r="2" ht="30" customHeight="1" s="1339">
      <c r="A2" s="1160" t="n"/>
      <c r="B2" s="1083" t="n"/>
      <c r="C2" s="1079" t="n"/>
      <c r="D2" s="1080" t="n"/>
      <c r="E2" s="1080" t="n"/>
      <c r="F2" s="1080" t="n"/>
      <c r="G2" s="1080" t="n"/>
      <c r="H2" s="1080" t="n"/>
      <c r="I2" s="1080" t="n"/>
      <c r="J2" s="1080" t="n"/>
      <c r="K2" s="1080" t="n"/>
      <c r="L2" s="1080" t="n"/>
      <c r="M2" s="1080" t="n"/>
      <c r="N2" s="1080" t="n"/>
      <c r="O2" s="1080" t="n"/>
      <c r="P2" s="1353">
        <f>'Recept-voorblad'!N23</f>
        <v/>
      </c>
      <c r="Q2" s="1315" t="n"/>
      <c r="R2" s="1316" t="n"/>
      <c r="S2" s="1108" t="n"/>
      <c r="T2" s="1093" t="n"/>
      <c r="U2" s="1093" t="n"/>
      <c r="V2" s="1093" t="n"/>
      <c r="W2" s="1093" t="n"/>
      <c r="X2" s="1093" t="n"/>
      <c r="Y2" s="1093" t="n"/>
      <c r="Z2" s="1093" t="n"/>
      <c r="AA2" s="1093" t="n"/>
      <c r="AB2" s="1093" t="n"/>
      <c r="AC2" s="1093" t="n"/>
      <c r="AD2" s="1093" t="n"/>
      <c r="AE2" s="1093" t="n"/>
      <c r="AF2" s="1093" t="n"/>
      <c r="AG2" s="1093" t="n"/>
      <c r="AH2" s="1093" t="n"/>
      <c r="AI2" s="1093" t="n"/>
      <c r="AJ2" s="1094" t="n"/>
    </row>
    <row r="3" ht="14.25" customHeight="1" s="1339">
      <c r="A3" s="1160" t="n"/>
      <c r="B3" s="1083" t="n"/>
      <c r="C3" s="1354" t="inlineStr">
        <is>
          <t>Naam bier</t>
        </is>
      </c>
      <c r="E3" s="1355">
        <f>'Recept-voorblad'!C3</f>
        <v/>
      </c>
      <c r="F3" s="1075" t="n"/>
      <c r="G3" s="1075" t="n"/>
      <c r="H3" s="1075" t="n"/>
      <c r="I3" s="1075" t="n"/>
      <c r="J3" s="1076" t="n"/>
      <c r="K3" s="1356" t="inlineStr">
        <is>
          <t>Batchnummer</t>
        </is>
      </c>
      <c r="M3" s="1083" t="n"/>
      <c r="N3" s="1357">
        <f>'Recept-voorblad'!K3</f>
        <v/>
      </c>
      <c r="O3" s="1083" t="n"/>
      <c r="P3" s="1358" t="inlineStr">
        <is>
          <t>Brouwsel nr,</t>
        </is>
      </c>
      <c r="Q3" s="1093" t="n"/>
      <c r="R3" s="1093" t="n"/>
      <c r="S3" s="1359" t="n">
        <v>1</v>
      </c>
      <c r="T3" s="1094" t="n"/>
      <c r="U3" s="1359" t="n">
        <v>2</v>
      </c>
      <c r="V3" s="1094" t="n"/>
      <c r="W3" s="1359" t="n">
        <v>3</v>
      </c>
      <c r="X3" s="1094" t="n"/>
      <c r="Y3" s="1359" t="n">
        <v>4</v>
      </c>
      <c r="Z3" s="1094" t="n"/>
      <c r="AA3" s="1359" t="n">
        <v>5</v>
      </c>
      <c r="AB3" s="1094" t="n"/>
      <c r="AC3" s="1359" t="n">
        <v>6</v>
      </c>
      <c r="AD3" s="1094" t="n"/>
      <c r="AE3" s="1359" t="n">
        <v>7</v>
      </c>
      <c r="AF3" s="1094" t="n"/>
      <c r="AG3" s="1359" t="n">
        <v>8</v>
      </c>
      <c r="AH3" s="1094" t="n"/>
      <c r="AI3" s="1359" t="n">
        <v>9</v>
      </c>
      <c r="AJ3" s="1094" t="n"/>
    </row>
    <row r="4" ht="14.25" customHeight="1" s="1339">
      <c r="A4" s="1160" t="n"/>
      <c r="B4" s="1083" t="n"/>
      <c r="C4" s="1080" t="n"/>
      <c r="D4" s="1080" t="n"/>
      <c r="E4" s="1079" t="n"/>
      <c r="F4" s="1080" t="n"/>
      <c r="G4" s="1080" t="n"/>
      <c r="H4" s="1080" t="n"/>
      <c r="I4" s="1080" t="n"/>
      <c r="J4" s="1081" t="n"/>
      <c r="K4" s="1080" t="n"/>
      <c r="L4" s="1080" t="n"/>
      <c r="M4" s="1081" t="n"/>
      <c r="N4" s="1079" t="n"/>
      <c r="O4" s="1081" t="n"/>
      <c r="P4" s="1360" t="inlineStr">
        <is>
          <t>Order nr, Software</t>
        </is>
      </c>
      <c r="Q4" s="1106" t="n"/>
      <c r="R4" s="1106" t="n"/>
      <c r="S4" s="1361" t="n"/>
      <c r="T4" s="1107" t="n"/>
      <c r="U4" s="1362" t="n"/>
      <c r="V4" s="1106" t="n"/>
      <c r="W4" s="1361" t="n"/>
      <c r="X4" s="1107" t="n"/>
      <c r="Y4" s="1362" t="n"/>
      <c r="Z4" s="1106" t="n"/>
      <c r="AA4" s="1361" t="n"/>
      <c r="AB4" s="1107" t="n"/>
      <c r="AC4" s="1363" t="n"/>
      <c r="AD4" s="1107" t="n"/>
      <c r="AE4" s="1363" t="n"/>
      <c r="AF4" s="1107" t="n"/>
      <c r="AG4" s="1363" t="n"/>
      <c r="AH4" s="1107" t="n"/>
      <c r="AI4" s="1363" t="n"/>
      <c r="AJ4" s="1107" t="n"/>
    </row>
    <row r="5" ht="14.25" customHeight="1" s="1339">
      <c r="A5" s="1160" t="n"/>
      <c r="B5" s="1083" t="n"/>
      <c r="C5" s="1354" t="inlineStr">
        <is>
          <t>Bier stijl</t>
        </is>
      </c>
      <c r="E5" s="1364">
        <f>'Recept-voorblad'!C7</f>
        <v/>
      </c>
      <c r="F5" s="1083" t="n"/>
      <c r="G5" s="1365" t="inlineStr">
        <is>
          <t>GLT</t>
        </is>
      </c>
      <c r="H5" s="1083" t="n"/>
      <c r="I5" s="1366" t="n"/>
      <c r="J5" s="1087" t="n"/>
      <c r="K5" s="1367" t="inlineStr">
        <is>
          <t>Datum 1e brouwsel</t>
        </is>
      </c>
      <c r="L5" s="1075" t="n"/>
      <c r="M5" s="1076" t="n"/>
      <c r="N5" s="2210" t="n"/>
      <c r="O5" s="1107" t="n"/>
      <c r="P5" s="1369" t="inlineStr">
        <is>
          <t>Naam brouwer</t>
        </is>
      </c>
      <c r="Q5" s="1078" t="n"/>
      <c r="R5" s="1078" t="n"/>
      <c r="S5" s="1370" t="n"/>
      <c r="T5" s="1371" t="n"/>
      <c r="U5" s="1372" t="n"/>
      <c r="V5" s="1373" t="n"/>
      <c r="W5" s="1370" t="n"/>
      <c r="X5" s="1371" t="n"/>
      <c r="Y5" s="1372" t="n"/>
      <c r="Z5" s="1373" t="n"/>
      <c r="AA5" s="1370" t="n"/>
      <c r="AB5" s="1371" t="n"/>
      <c r="AC5" s="1372" t="n"/>
      <c r="AD5" s="1371" t="n"/>
      <c r="AE5" s="1372" t="n"/>
      <c r="AF5" s="1371" t="n"/>
      <c r="AG5" s="1372" t="n"/>
      <c r="AH5" s="1371" t="n"/>
      <c r="AI5" s="1372" t="n"/>
      <c r="AJ5" s="1371" t="n"/>
    </row>
    <row r="6" ht="14.25" customHeight="1" s="1339">
      <c r="A6" s="1160" t="n"/>
      <c r="B6" s="1083" t="n"/>
      <c r="C6" s="1080" t="n"/>
      <c r="D6" s="1080" t="n"/>
      <c r="E6" s="1079" t="n"/>
      <c r="F6" s="1081" t="n"/>
      <c r="G6" s="1079" t="n"/>
      <c r="H6" s="1081" t="n"/>
      <c r="I6" s="1093" t="n"/>
      <c r="J6" s="1094" t="n"/>
      <c r="K6" s="1079" t="n"/>
      <c r="L6" s="1080" t="n"/>
      <c r="M6" s="1081" t="n"/>
      <c r="N6" s="1093" t="n"/>
      <c r="O6" s="1094" t="n"/>
      <c r="P6" s="1374" t="inlineStr">
        <is>
          <t>Start inmaischen (dd-mm uu:mm)</t>
        </is>
      </c>
      <c r="Q6" s="1078" t="n"/>
      <c r="R6" s="1078" t="n"/>
      <c r="S6" s="1375" t="n"/>
      <c r="T6" s="1376" t="n"/>
      <c r="U6" s="1375" t="n"/>
      <c r="V6" s="1376" t="n"/>
      <c r="W6" s="1375" t="n"/>
      <c r="X6" s="1376" t="n"/>
      <c r="Y6" s="1375" t="n"/>
      <c r="Z6" s="1376" t="n"/>
      <c r="AA6" s="1375" t="n"/>
      <c r="AB6" s="1376" t="n"/>
      <c r="AC6" s="1375" t="n"/>
      <c r="AD6" s="1376" t="n"/>
      <c r="AE6" s="1375" t="n"/>
      <c r="AF6" s="1376" t="n"/>
      <c r="AG6" s="1375" t="n"/>
      <c r="AH6" s="1376" t="n"/>
      <c r="AI6" s="1375" t="n"/>
      <c r="AJ6" s="1376" t="n"/>
    </row>
    <row r="7" ht="14.25" customFormat="1" customHeight="1" s="1099">
      <c r="A7" s="1377" t="inlineStr">
        <is>
          <t xml:space="preserve">Brouw specificaties </t>
        </is>
      </c>
      <c r="B7" s="1080" t="n"/>
      <c r="C7" s="1080" t="n"/>
      <c r="D7" s="1080" t="n"/>
      <c r="E7" s="1080" t="n"/>
      <c r="F7" s="1080" t="n"/>
      <c r="G7" s="1080" t="n"/>
      <c r="H7" s="1081" t="n"/>
      <c r="I7" s="1378" t="inlineStr">
        <is>
          <t>Recept specificaties</t>
        </is>
      </c>
      <c r="J7" s="1114" t="n"/>
      <c r="K7" s="1114" t="n"/>
      <c r="L7" s="1114" t="n"/>
      <c r="M7" s="1114" t="n"/>
      <c r="N7" s="1114" t="n"/>
      <c r="O7" s="1115" t="n"/>
      <c r="P7" s="1379" t="inlineStr">
        <is>
          <t>Maischen</t>
        </is>
      </c>
      <c r="Q7" s="1315" t="n"/>
      <c r="R7" s="1315" t="n"/>
      <c r="S7" s="1380" t="n"/>
      <c r="T7" s="1381" t="n"/>
      <c r="U7" s="1381" t="n"/>
      <c r="V7" s="1381" t="n"/>
      <c r="W7" s="1381" t="n"/>
      <c r="X7" s="1381" t="n"/>
      <c r="Y7" s="1381" t="n"/>
      <c r="Z7" s="1381" t="n"/>
      <c r="AA7" s="1381" t="n"/>
      <c r="AB7" s="1381" t="n"/>
      <c r="AC7" s="1381" t="n"/>
      <c r="AD7" s="1382" t="n"/>
      <c r="AE7" s="1381" t="n"/>
      <c r="AF7" s="1382" t="n"/>
      <c r="AG7" s="1381" t="n"/>
      <c r="AH7" s="1382" t="n"/>
      <c r="AI7" s="1381" t="n"/>
      <c r="AJ7" s="1382" t="n"/>
      <c r="AK7" s="1340" t="n"/>
    </row>
    <row r="8" ht="14.25" customFormat="1" customHeight="1" s="1099">
      <c r="A8" s="1383">
        <f>IF(LEFT(A1,2)="WP", "Totaal volume batch","Recept nummer braukon")</f>
        <v/>
      </c>
      <c r="B8" s="1075" t="n"/>
      <c r="C8" s="1075" t="n"/>
      <c r="D8" s="1075" t="n"/>
      <c r="E8" s="1076" t="n"/>
      <c r="F8" s="1384" t="n"/>
      <c r="G8" s="1223" t="n"/>
      <c r="H8" s="1385">
        <f>IF(LEFT(A1,2)="WP", "Hl"," ")</f>
        <v/>
      </c>
      <c r="I8" s="1386" t="inlineStr">
        <is>
          <t>Gewenste stamwort</t>
        </is>
      </c>
      <c r="J8" s="1075" t="n"/>
      <c r="K8" s="1075" t="n"/>
      <c r="L8" s="1075" t="n"/>
      <c r="M8" s="1076" t="n"/>
      <c r="N8" s="1387" t="n"/>
      <c r="O8" s="1388" t="inlineStr">
        <is>
          <t>⁰P</t>
        </is>
      </c>
      <c r="P8" s="1389" t="inlineStr">
        <is>
          <t>Maisch water</t>
        </is>
      </c>
      <c r="Q8" s="1106" t="n"/>
      <c r="R8" s="1106" t="n"/>
      <c r="S8" s="1390" t="n"/>
      <c r="T8" s="1391" t="inlineStr">
        <is>
          <t>hl</t>
        </is>
      </c>
      <c r="U8" s="1390" t="n"/>
      <c r="V8" s="1391" t="inlineStr">
        <is>
          <t>hl</t>
        </is>
      </c>
      <c r="W8" s="1390" t="n"/>
      <c r="X8" s="1391" t="inlineStr">
        <is>
          <t>hl</t>
        </is>
      </c>
      <c r="Y8" s="1392" t="n"/>
      <c r="Z8" s="1391" t="inlineStr">
        <is>
          <t>hl</t>
        </is>
      </c>
      <c r="AA8" s="1390" t="n"/>
      <c r="AB8" s="1391" t="inlineStr">
        <is>
          <t>hl</t>
        </is>
      </c>
      <c r="AC8" s="1392" t="n"/>
      <c r="AD8" s="1391" t="inlineStr">
        <is>
          <t>hl</t>
        </is>
      </c>
      <c r="AE8" s="1392" t="n"/>
      <c r="AF8" s="1391" t="inlineStr">
        <is>
          <t>hl</t>
        </is>
      </c>
      <c r="AG8" s="1392" t="n"/>
      <c r="AH8" s="1391" t="inlineStr">
        <is>
          <t>hl</t>
        </is>
      </c>
      <c r="AI8" s="1392" t="n"/>
      <c r="AJ8" s="1391" t="inlineStr">
        <is>
          <t>hl</t>
        </is>
      </c>
      <c r="AK8" s="1340" t="n"/>
    </row>
    <row r="9" ht="14.25" customFormat="1" customHeight="1" s="1099">
      <c r="A9" s="1393" t="inlineStr">
        <is>
          <t>Receptnaam Software</t>
        </is>
      </c>
      <c r="E9" s="1083" t="n"/>
      <c r="F9" s="1394" t="n"/>
      <c r="G9" s="1177" t="n"/>
      <c r="H9" s="1178" t="n"/>
      <c r="I9" s="1395" t="inlineStr">
        <is>
          <t>Gewenste eind plato</t>
        </is>
      </c>
      <c r="M9" s="1083" t="n"/>
      <c r="N9" s="1396">
        <f>'Recept-voorblad'!F13</f>
        <v/>
      </c>
      <c r="O9" s="1397" t="inlineStr">
        <is>
          <t>⁰P</t>
        </is>
      </c>
      <c r="P9" s="1398" t="inlineStr">
        <is>
          <t>pH na inmaischen</t>
        </is>
      </c>
      <c r="Q9" s="1078" t="n"/>
      <c r="R9" s="1078" t="n"/>
      <c r="S9" s="1399" t="n"/>
      <c r="T9" s="1400" t="n"/>
      <c r="U9" s="1399" t="n"/>
      <c r="V9" s="1400" t="n"/>
      <c r="W9" s="1399" t="n"/>
      <c r="X9" s="1400" t="n"/>
      <c r="Y9" s="1399" t="n"/>
      <c r="Z9" s="1400" t="n"/>
      <c r="AA9" s="1399" t="n"/>
      <c r="AB9" s="1400" t="n"/>
      <c r="AC9" s="1399" t="n"/>
      <c r="AD9" s="1400" t="n"/>
      <c r="AE9" s="1399" t="n"/>
      <c r="AF9" s="1400" t="n"/>
      <c r="AG9" s="1399" t="n"/>
      <c r="AH9" s="1400" t="n"/>
      <c r="AI9" s="1399" t="n"/>
      <c r="AJ9" s="1400" t="n"/>
      <c r="AK9" s="1340" t="n"/>
    </row>
    <row r="10" ht="14.25" customFormat="1" customHeight="1" s="1099">
      <c r="A10" s="1401">
        <f>IF(LEFT(A1,2)="WP", "Stort special bin kg","Maischwater")</f>
        <v/>
      </c>
      <c r="E10" s="1083" t="n"/>
      <c r="F10" s="1402" t="n"/>
      <c r="G10" s="1177" t="n"/>
      <c r="H10" s="1403">
        <f>IF(LEFT(A1,2)="WP", "kg","hl")</f>
        <v/>
      </c>
      <c r="I10" s="1395">
        <f>IF(LEFT(A1,2)="WP", "Maischwater"," ")</f>
        <v/>
      </c>
      <c r="M10" s="1083" t="n"/>
      <c r="N10" s="1396" t="n"/>
      <c r="O10" s="1404">
        <f>IF(LEFT(A1,2)="WP", "hl","")</f>
        <v/>
      </c>
      <c r="P10" s="1405" t="inlineStr">
        <is>
          <t xml:space="preserve">Correctie zuur </t>
        </is>
      </c>
      <c r="Q10" s="1078" t="n"/>
      <c r="R10" s="1078" t="n"/>
      <c r="S10" s="1406" t="n"/>
      <c r="T10" s="1407">
        <f>IF(LEFT(A1,2)="WP","liter","ml")</f>
        <v/>
      </c>
      <c r="U10" s="1406" t="n"/>
      <c r="V10" s="1408">
        <f>IF(LEFT(A1,2)="WP","liter","ml")</f>
        <v/>
      </c>
      <c r="W10" s="1406" t="n"/>
      <c r="X10" s="1409">
        <f>IF(LEFT(A1,2)="WP","liter","ml")</f>
        <v/>
      </c>
      <c r="Y10" s="1406" t="n"/>
      <c r="Z10" s="1408">
        <f>IF(LEFT(A1,2)="WP","liter","ml")</f>
        <v/>
      </c>
      <c r="AA10" s="1406" t="n"/>
      <c r="AB10" s="1408">
        <f>IF(LEFT(A1,2)="WP","liter","ml")</f>
        <v/>
      </c>
      <c r="AC10" s="1406" t="n"/>
      <c r="AD10" s="1408">
        <f>IF(LEFT(A1,2)="WP","liter","ml")</f>
        <v/>
      </c>
      <c r="AE10" s="1406" t="n"/>
      <c r="AF10" s="1408">
        <f>IF(LEFT(A1,2)="WP","liter","ml")</f>
        <v/>
      </c>
      <c r="AG10" s="1406" t="n"/>
      <c r="AH10" s="1408">
        <f>IF(LEFT(A1,2)="WP","liter","ml")</f>
        <v/>
      </c>
      <c r="AI10" s="1406" t="n"/>
      <c r="AJ10" s="1408">
        <f>IF(LEFT(A1,2)="WP","liter","ml")</f>
        <v/>
      </c>
      <c r="AK10" s="1340" t="n"/>
    </row>
    <row r="11" ht="14.25" customFormat="1" customHeight="1" s="1099">
      <c r="A11" s="1401">
        <f>IF(LEFT(A1,2)="WP", "Naam special bin storting"," ")</f>
        <v/>
      </c>
      <c r="E11" s="1083" t="n"/>
      <c r="F11" s="1410" t="n"/>
      <c r="G11" s="1177" t="n"/>
      <c r="H11" s="1178" t="n"/>
      <c r="I11" s="1395" t="inlineStr">
        <is>
          <t>pH Maische</t>
        </is>
      </c>
      <c r="M11" s="1083" t="n"/>
      <c r="N11" s="1411" t="n"/>
      <c r="O11" s="1178" t="n"/>
      <c r="P11" s="1398" t="inlineStr">
        <is>
          <t>pH na correctie</t>
        </is>
      </c>
      <c r="Q11" s="1078" t="n"/>
      <c r="R11" s="1078" t="n"/>
      <c r="S11" s="1412" t="n"/>
      <c r="T11" s="1413" t="n"/>
      <c r="U11" s="1412" t="n"/>
      <c r="V11" s="1413" t="n"/>
      <c r="W11" s="1412" t="n"/>
      <c r="X11" s="1413" t="n"/>
      <c r="Y11" s="1412" t="n"/>
      <c r="Z11" s="1413" t="n"/>
      <c r="AA11" s="1412" t="n"/>
      <c r="AB11" s="1413" t="n"/>
      <c r="AC11" s="1412" t="n"/>
      <c r="AD11" s="1413" t="n"/>
      <c r="AE11" s="1412" t="n"/>
      <c r="AF11" s="1413" t="n"/>
      <c r="AG11" s="1412" t="n"/>
      <c r="AH11" s="1413" t="n"/>
      <c r="AI11" s="1412" t="n"/>
      <c r="AJ11" s="1413" t="n"/>
      <c r="AK11" s="1340" t="n"/>
    </row>
    <row r="12" ht="14.25" customFormat="1" customHeight="1" s="1099">
      <c r="A12" s="1393" t="inlineStr">
        <is>
          <t>Beslag dikte</t>
        </is>
      </c>
      <c r="E12" s="1083" t="n"/>
      <c r="F12" s="1414">
        <f>"1 :"&amp;ROUNDUP(IF(LEFT(A1,2)="WP",(N10*100)/'Recept-voorblad'!D40,(F10*100)/'Recept-voorblad'!D40),2)</f>
        <v/>
      </c>
      <c r="G12" s="1177" t="n"/>
      <c r="H12" s="1178" t="n"/>
      <c r="I12" s="1395" t="inlineStr">
        <is>
          <t>pH Start koken</t>
        </is>
      </c>
      <c r="M12" s="1083" t="n"/>
      <c r="N12" s="1411" t="n"/>
      <c r="O12" s="1178" t="n"/>
      <c r="P12" s="1398" t="inlineStr">
        <is>
          <t>Joodnormaal test OK?</t>
        </is>
      </c>
      <c r="Q12" s="1078" t="n"/>
      <c r="R12" s="1078" t="n"/>
      <c r="S12" s="1415" t="n"/>
      <c r="T12" s="1416" t="n"/>
      <c r="U12" s="1415" t="n"/>
      <c r="V12" s="1416" t="n"/>
      <c r="W12" s="1415" t="n"/>
      <c r="X12" s="1416" t="n"/>
      <c r="Y12" s="1415" t="n"/>
      <c r="Z12" s="1416" t="n"/>
      <c r="AA12" s="1415" t="n"/>
      <c r="AB12" s="1416" t="n"/>
      <c r="AC12" s="1415" t="n"/>
      <c r="AD12" s="1416" t="n"/>
      <c r="AE12" s="1415" t="n"/>
      <c r="AF12" s="1416" t="n"/>
      <c r="AG12" s="1415" t="n"/>
      <c r="AH12" s="1416" t="n"/>
      <c r="AI12" s="1415" t="n"/>
      <c r="AJ12" s="1416" t="n"/>
      <c r="AK12" s="1340" t="n"/>
    </row>
    <row r="13" ht="14.25" customFormat="1" customHeight="1" s="1099">
      <c r="A13" s="1393">
        <f>IF(LEFT(A1,2)="WP", "Cumm. Corp./sparging vol."," ")</f>
        <v/>
      </c>
      <c r="E13" s="1083" t="n"/>
      <c r="F13" s="1402" t="n"/>
      <c r="G13" s="1177" t="n"/>
      <c r="H13" s="1099">
        <f>IF(LEFT(A1,2)="WP", "hl"," ")</f>
        <v/>
      </c>
      <c r="I13" s="1395" t="inlineStr">
        <is>
          <t>pH Eind Koken</t>
        </is>
      </c>
      <c r="M13" s="1083" t="n"/>
      <c r="N13" s="1411" t="n"/>
      <c r="O13" s="1178" t="n"/>
      <c r="P13" s="1417" t="inlineStr">
        <is>
          <t>Afwijking maische schema?</t>
        </is>
      </c>
      <c r="Q13" s="1078" t="n"/>
      <c r="R13" s="1078" t="n"/>
      <c r="S13" s="1418" t="n"/>
      <c r="T13" s="1416" t="n"/>
      <c r="U13" s="1418" t="n"/>
      <c r="V13" s="1416" t="n"/>
      <c r="W13" s="1418" t="n"/>
      <c r="X13" s="1416" t="n"/>
      <c r="Y13" s="1418" t="n"/>
      <c r="Z13" s="1416" t="n"/>
      <c r="AA13" s="1418" t="n"/>
      <c r="AB13" s="1416" t="n"/>
      <c r="AC13" s="1418" t="n"/>
      <c r="AD13" s="1416" t="n"/>
      <c r="AE13" s="1418" t="n"/>
      <c r="AF13" s="1416" t="n"/>
      <c r="AG13" s="1418" t="n"/>
      <c r="AH13" s="1416" t="n"/>
      <c r="AI13" s="1418" t="n"/>
      <c r="AJ13" s="1416" t="n"/>
      <c r="AK13" s="1340" t="n"/>
    </row>
    <row r="14" ht="14.25" customFormat="1" customHeight="1" s="1099">
      <c r="A14" s="1393" t="inlineStr">
        <is>
          <t>Brouwsel (hl)</t>
        </is>
      </c>
      <c r="E14" s="1083" t="n"/>
      <c r="F14" s="1419">
        <f>'Recept-voorblad'!C9</f>
        <v/>
      </c>
      <c r="G14" s="1177" t="n"/>
      <c r="H14" s="1403" t="inlineStr">
        <is>
          <t>hl</t>
        </is>
      </c>
      <c r="I14" s="1395" t="inlineStr">
        <is>
          <t>Beluchting</t>
        </is>
      </c>
      <c r="M14" s="1083" t="n"/>
      <c r="N14" s="1420" t="n"/>
      <c r="O14" s="1397">
        <f>IF(LEFT(A1,2)="WP", "ppm","l/h")</f>
        <v/>
      </c>
      <c r="P14" s="1421" t="inlineStr">
        <is>
          <t>Spoelwater</t>
        </is>
      </c>
      <c r="Q14" s="1093" t="n"/>
      <c r="R14" s="1093" t="n"/>
      <c r="S14" s="1422" t="n"/>
      <c r="T14" s="1423" t="inlineStr">
        <is>
          <t>hl</t>
        </is>
      </c>
      <c r="U14" s="1422" t="n"/>
      <c r="V14" s="1423" t="inlineStr">
        <is>
          <t>hl</t>
        </is>
      </c>
      <c r="W14" s="1422" t="n"/>
      <c r="X14" s="1423" t="inlineStr">
        <is>
          <t>hl</t>
        </is>
      </c>
      <c r="Y14" s="1422" t="n"/>
      <c r="Z14" s="1423" t="inlineStr">
        <is>
          <t>hl</t>
        </is>
      </c>
      <c r="AA14" s="1422" t="n"/>
      <c r="AB14" s="1423" t="inlineStr">
        <is>
          <t>hl</t>
        </is>
      </c>
      <c r="AC14" s="1422" t="n"/>
      <c r="AD14" s="1423" t="inlineStr">
        <is>
          <t>hl</t>
        </is>
      </c>
      <c r="AE14" s="1422" t="n"/>
      <c r="AF14" s="1423" t="inlineStr">
        <is>
          <t>hl</t>
        </is>
      </c>
      <c r="AG14" s="1422" t="n"/>
      <c r="AH14" s="1423" t="inlineStr">
        <is>
          <t>hl</t>
        </is>
      </c>
      <c r="AI14" s="1422" t="n"/>
      <c r="AJ14" s="1423" t="inlineStr">
        <is>
          <t>hl</t>
        </is>
      </c>
      <c r="AK14" s="1340" t="n"/>
    </row>
    <row r="15" ht="14.25" customFormat="1" customHeight="1" s="1099">
      <c r="A15" s="1424" t="inlineStr">
        <is>
          <t>Verwacht extract begin kook</t>
        </is>
      </c>
      <c r="B15" s="1425" t="n"/>
      <c r="C15" s="1425" t="n"/>
      <c r="D15" s="1425" t="n"/>
      <c r="E15" s="1426" t="n"/>
      <c r="F15" s="1396" t="n"/>
      <c r="G15" s="1177" t="n"/>
      <c r="H15" s="1403" t="inlineStr">
        <is>
          <t>°P</t>
        </is>
      </c>
      <c r="I15" s="1427" t="inlineStr">
        <is>
          <t>Wort naar gisttank Temp</t>
        </is>
      </c>
      <c r="J15" s="1080" t="n"/>
      <c r="K15" s="1080" t="n"/>
      <c r="L15" s="1080" t="n"/>
      <c r="M15" s="1081" t="n"/>
      <c r="N15" s="1428">
        <f>'Recept-voorblad'!F21</f>
        <v/>
      </c>
      <c r="O15" s="1429" t="inlineStr">
        <is>
          <t>°C</t>
        </is>
      </c>
      <c r="P15" s="1379" t="inlineStr">
        <is>
          <t>Filtratie &amp; voorloopvat</t>
        </is>
      </c>
      <c r="Q15" s="1315" t="n"/>
      <c r="R15" s="1315" t="n"/>
      <c r="S15" s="1430" t="n"/>
      <c r="T15" s="1431" t="n"/>
      <c r="U15" s="1431" t="n"/>
      <c r="V15" s="1431" t="n"/>
      <c r="W15" s="1431" t="n"/>
      <c r="X15" s="1431" t="n"/>
      <c r="Y15" s="1431" t="n"/>
      <c r="Z15" s="1431" t="n"/>
      <c r="AA15" s="1431" t="n"/>
      <c r="AB15" s="1431" t="n"/>
      <c r="AC15" s="1431" t="n"/>
      <c r="AD15" s="1432" t="n"/>
      <c r="AE15" s="1431" t="n"/>
      <c r="AF15" s="1432" t="n"/>
      <c r="AG15" s="1431" t="n"/>
      <c r="AH15" s="1432" t="n"/>
      <c r="AI15" s="1431" t="n"/>
      <c r="AJ15" s="1432" t="n"/>
      <c r="AK15" s="1340" t="n"/>
    </row>
    <row r="16" ht="14.25" customFormat="1" customHeight="1" s="1099">
      <c r="A16" s="1433" t="inlineStr">
        <is>
          <t>Volume kook</t>
        </is>
      </c>
      <c r="B16" s="1434" t="n"/>
      <c r="C16" s="1434" t="n"/>
      <c r="D16" s="1434" t="n"/>
      <c r="E16" s="1435" t="n"/>
      <c r="F16" s="1436" t="n"/>
      <c r="G16" s="1177" t="n"/>
      <c r="H16" s="1403" t="inlineStr">
        <is>
          <t>hl</t>
        </is>
      </c>
      <c r="I16" s="1367">
        <f>IF(LEFT(A1,2)="WP", "Sparging instellingen","Filtratie volumes")</f>
        <v/>
      </c>
      <c r="J16" s="1114" t="n"/>
      <c r="K16" s="1114" t="n"/>
      <c r="L16" s="1114" t="n"/>
      <c r="M16" s="1114" t="n"/>
      <c r="N16" s="1114" t="n"/>
      <c r="O16" s="1115" t="n"/>
      <c r="P16" s="1360" t="inlineStr">
        <is>
          <t>Plato 1e wortvolume</t>
        </is>
      </c>
      <c r="Q16" s="1106" t="n"/>
      <c r="R16" s="1106" t="n"/>
      <c r="S16" s="1437" t="n"/>
      <c r="T16" s="1438" t="inlineStr">
        <is>
          <t>°P</t>
        </is>
      </c>
      <c r="U16" s="1437" t="n"/>
      <c r="V16" s="1438" t="inlineStr">
        <is>
          <t>°P</t>
        </is>
      </c>
      <c r="W16" s="1437" t="n"/>
      <c r="X16" s="1438" t="inlineStr">
        <is>
          <t>°P</t>
        </is>
      </c>
      <c r="Y16" s="1437" t="n"/>
      <c r="Z16" s="1438" t="inlineStr">
        <is>
          <t>°P</t>
        </is>
      </c>
      <c r="AA16" s="1439" t="n"/>
      <c r="AB16" s="1438" t="inlineStr">
        <is>
          <t>°P</t>
        </is>
      </c>
      <c r="AC16" s="1439" t="n"/>
      <c r="AD16" s="1438" t="inlineStr">
        <is>
          <t>°P</t>
        </is>
      </c>
      <c r="AE16" s="1439" t="n"/>
      <c r="AF16" s="1438" t="inlineStr">
        <is>
          <t>°P</t>
        </is>
      </c>
      <c r="AG16" s="1439" t="n"/>
      <c r="AH16" s="1438" t="inlineStr">
        <is>
          <t>°P</t>
        </is>
      </c>
      <c r="AI16" s="1439" t="n"/>
      <c r="AJ16" s="1438" t="inlineStr">
        <is>
          <t>°P</t>
        </is>
      </c>
      <c r="AK16" s="1340" t="n"/>
    </row>
    <row r="17" ht="14.25" customFormat="1" customHeight="1" s="1099">
      <c r="A17" s="1433" t="inlineStr">
        <is>
          <t>Wortvoorkoeler temp</t>
        </is>
      </c>
      <c r="B17" s="1434" t="n"/>
      <c r="C17" s="1434" t="n"/>
      <c r="D17" s="1434" t="n"/>
      <c r="E17" s="1435" t="n"/>
      <c r="F17" s="1419" t="n"/>
      <c r="G17" s="1177" t="n"/>
      <c r="H17" s="1403" t="inlineStr">
        <is>
          <t>°C</t>
        </is>
      </c>
      <c r="I17" s="1383">
        <f>IF(LEFT(A1,2)="WP", "sparging 1e","1e afloop")</f>
        <v/>
      </c>
      <c r="J17" s="1075" t="n"/>
      <c r="K17" s="1075" t="n"/>
      <c r="L17" s="1075" t="n"/>
      <c r="M17" s="1076" t="n"/>
      <c r="N17" s="1388" t="n"/>
      <c r="O17" s="1388">
        <f>IF(LEFT(A1,2)="WP", "hl/h","Hl")</f>
        <v/>
      </c>
      <c r="P17" s="1369" t="inlineStr">
        <is>
          <t>Extract laatste afloop</t>
        </is>
      </c>
      <c r="Q17" s="1078" t="n"/>
      <c r="R17" s="1078" t="n"/>
      <c r="S17" s="1440" t="n"/>
      <c r="T17" s="1441" t="inlineStr">
        <is>
          <t>°P</t>
        </is>
      </c>
      <c r="U17" s="1440" t="n"/>
      <c r="V17" s="1441" t="inlineStr">
        <is>
          <t>°P</t>
        </is>
      </c>
      <c r="W17" s="1440" t="n"/>
      <c r="X17" s="1441" t="inlineStr">
        <is>
          <t>°P</t>
        </is>
      </c>
      <c r="Y17" s="1440" t="n"/>
      <c r="Z17" s="1441" t="inlineStr">
        <is>
          <t>°P</t>
        </is>
      </c>
      <c r="AA17" s="1442" t="n"/>
      <c r="AB17" s="1441" t="inlineStr">
        <is>
          <t>°P</t>
        </is>
      </c>
      <c r="AC17" s="1442" t="n"/>
      <c r="AD17" s="1441" t="inlineStr">
        <is>
          <t>°P</t>
        </is>
      </c>
      <c r="AE17" s="1442" t="n"/>
      <c r="AF17" s="1441" t="inlineStr">
        <is>
          <t>°P</t>
        </is>
      </c>
      <c r="AG17" s="1442" t="n"/>
      <c r="AH17" s="1441" t="inlineStr">
        <is>
          <t>°P</t>
        </is>
      </c>
      <c r="AI17" s="1442" t="n"/>
      <c r="AJ17" s="1441" t="inlineStr">
        <is>
          <t>°P</t>
        </is>
      </c>
      <c r="AK17" s="1340" t="n"/>
    </row>
    <row r="18" ht="14.25" customFormat="1" customHeight="1" s="1099">
      <c r="A18" s="1424">
        <f>IF(LEFT(A1,2)="WP", "Volume water aditie terug koeling","Totaal volume brouwsel ")</f>
        <v/>
      </c>
      <c r="B18" s="1425" t="n"/>
      <c r="C18" s="1425" t="n"/>
      <c r="D18" s="1425" t="n"/>
      <c r="E18" s="1426" t="n"/>
      <c r="F18" s="1420" t="n"/>
      <c r="G18" s="1177" t="n"/>
      <c r="H18" s="1403" t="inlineStr">
        <is>
          <t>hl</t>
        </is>
      </c>
      <c r="I18" s="1401">
        <f>IF(LEFT(A1,2)="WP", "sparging 2e","Spoelwater")</f>
        <v/>
      </c>
      <c r="M18" s="1083" t="n"/>
      <c r="N18" s="1397" t="n"/>
      <c r="O18" s="1397">
        <f>O17</f>
        <v/>
      </c>
      <c r="P18" s="1369" t="inlineStr">
        <is>
          <t>Eerste afloop</t>
        </is>
      </c>
      <c r="Q18" s="1078" t="n"/>
      <c r="R18" s="1078" t="n"/>
      <c r="S18" s="1443" t="n"/>
      <c r="T18" s="1408" t="inlineStr">
        <is>
          <t>hl</t>
        </is>
      </c>
      <c r="U18" s="1443" t="n"/>
      <c r="V18" s="1408" t="inlineStr">
        <is>
          <t>hl</t>
        </is>
      </c>
      <c r="W18" s="1443" t="n"/>
      <c r="X18" s="1408" t="inlineStr">
        <is>
          <t>hl</t>
        </is>
      </c>
      <c r="Y18" s="1443" t="n"/>
      <c r="Z18" s="1408" t="inlineStr">
        <is>
          <t>hl</t>
        </is>
      </c>
      <c r="AA18" s="1443" t="n"/>
      <c r="AB18" s="1408" t="inlineStr">
        <is>
          <t>hl</t>
        </is>
      </c>
      <c r="AC18" s="1443" t="n"/>
      <c r="AD18" s="1408" t="inlineStr">
        <is>
          <t>hl</t>
        </is>
      </c>
      <c r="AE18" s="1443" t="n"/>
      <c r="AF18" s="1408" t="inlineStr">
        <is>
          <t>hl</t>
        </is>
      </c>
      <c r="AG18" s="1443" t="n"/>
      <c r="AH18" s="1408" t="inlineStr">
        <is>
          <t>hl</t>
        </is>
      </c>
      <c r="AI18" s="1443" t="n"/>
      <c r="AJ18" s="1408" t="inlineStr">
        <is>
          <t>hl</t>
        </is>
      </c>
      <c r="AK18" s="1340" t="n"/>
    </row>
    <row r="19" ht="14.25" customFormat="1" customHeight="1" s="1099">
      <c r="A19" s="1433">
        <f>IF(LEFT(A1,2)="WP", "Eindvolume brouwsel","Eindvolume in CKT")</f>
        <v/>
      </c>
      <c r="B19" s="1434" t="n"/>
      <c r="C19" s="1434" t="n"/>
      <c r="D19" s="1434" t="n"/>
      <c r="E19" s="1435" t="n"/>
      <c r="F19" s="1419">
        <f>IF(LEFT(A1,2)="WP", 'Recept-voorblad'!C9,'Recept-voorblad'!C9*'Recept-voorblad'!G7)</f>
        <v/>
      </c>
      <c r="G19" s="1177" t="n"/>
      <c r="H19" s="1403" t="inlineStr">
        <is>
          <t>hl</t>
        </is>
      </c>
      <c r="I19" s="1401">
        <f>IF(LEFT(A1,2)="WP", "sparging 3e","Spoel afloop")</f>
        <v/>
      </c>
      <c r="M19" s="1083" t="n"/>
      <c r="N19" s="1397" t="n"/>
      <c r="O19" s="1397">
        <f>O18</f>
        <v/>
      </c>
      <c r="P19" s="1369">
        <f>IF(LEFT(A1,2)="WP", "Cumm, Sparging vol,","spoelwater")</f>
        <v/>
      </c>
      <c r="Q19" s="1078" t="n"/>
      <c r="R19" s="1078" t="n"/>
      <c r="S19" s="1443" t="n"/>
      <c r="T19" s="1444" t="inlineStr">
        <is>
          <t>hl</t>
        </is>
      </c>
      <c r="U19" s="1443" t="n"/>
      <c r="V19" s="1444" t="inlineStr">
        <is>
          <t>hl</t>
        </is>
      </c>
      <c r="W19" s="1443" t="n"/>
      <c r="X19" s="1444" t="inlineStr">
        <is>
          <t>hl</t>
        </is>
      </c>
      <c r="Y19" s="1443" t="n"/>
      <c r="Z19" s="1444" t="inlineStr">
        <is>
          <t>hl</t>
        </is>
      </c>
      <c r="AA19" s="1443" t="n"/>
      <c r="AB19" s="1444" t="inlineStr">
        <is>
          <t>hl</t>
        </is>
      </c>
      <c r="AC19" s="1443" t="n"/>
      <c r="AD19" s="1444" t="inlineStr">
        <is>
          <t>hl</t>
        </is>
      </c>
      <c r="AE19" s="1443" t="n"/>
      <c r="AF19" s="1444" t="inlineStr">
        <is>
          <t>hl</t>
        </is>
      </c>
      <c r="AG19" s="1443" t="n"/>
      <c r="AH19" s="1444" t="inlineStr">
        <is>
          <t>hl</t>
        </is>
      </c>
      <c r="AI19" s="1443" t="n"/>
      <c r="AJ19" s="1444" t="inlineStr">
        <is>
          <t>hl</t>
        </is>
      </c>
      <c r="AK19" s="1340" t="n"/>
    </row>
    <row r="20" ht="14.25" customFormat="1" customHeight="1" s="1099">
      <c r="A20" s="1424" t="inlineStr">
        <is>
          <t>Gewenste verdamping</t>
        </is>
      </c>
      <c r="B20" s="1425" t="n"/>
      <c r="C20" s="1425" t="n"/>
      <c r="D20" s="1425" t="n"/>
      <c r="E20" s="1426" t="n"/>
      <c r="F20" s="1420" t="n"/>
      <c r="G20" s="1177" t="n"/>
      <c r="H20" s="1403" t="inlineStr">
        <is>
          <t>%</t>
        </is>
      </c>
      <c r="I20" s="1401">
        <f>IF(LEFT(A1,2)="WP", "sparging 4e","Totaal gefiltreerd volume")</f>
        <v/>
      </c>
      <c r="M20" s="1083" t="n"/>
      <c r="N20" s="1397" t="n"/>
      <c r="O20" s="1445">
        <f>O17</f>
        <v/>
      </c>
      <c r="P20" s="1369">
        <f>IF(LEFT(A1,2)="WP", "Last run pH","Spoelafloop")</f>
        <v/>
      </c>
      <c r="Q20" s="1446" t="n"/>
      <c r="R20" s="1446" t="n"/>
      <c r="S20" s="1447" t="n"/>
      <c r="T20" s="1448" t="n"/>
      <c r="U20" s="1447" t="n"/>
      <c r="V20" s="1448" t="n"/>
      <c r="W20" s="1447" t="n"/>
      <c r="X20" s="1449" t="n"/>
      <c r="Y20" s="1447" t="n"/>
      <c r="Z20" s="1449" t="n"/>
      <c r="AA20" s="1447" t="n"/>
      <c r="AB20" s="1449" t="n"/>
      <c r="AC20" s="1447" t="n"/>
      <c r="AD20" s="1449" t="n"/>
      <c r="AE20" s="1447" t="n"/>
      <c r="AF20" s="1449" t="n"/>
      <c r="AG20" s="1447" t="n"/>
      <c r="AH20" s="1449" t="n"/>
      <c r="AI20" s="1447" t="n"/>
      <c r="AJ20" s="1449" t="n"/>
      <c r="AK20" s="1340" t="n"/>
    </row>
    <row r="21" ht="14.25" customFormat="1" customHeight="1" s="1099">
      <c r="A21" s="1424" t="inlineStr">
        <is>
          <t>Intensiteit koken</t>
        </is>
      </c>
      <c r="B21" s="1425" t="n"/>
      <c r="C21" s="1425" t="n"/>
      <c r="D21" s="1425" t="n"/>
      <c r="E21" s="1426" t="n"/>
      <c r="F21" s="1419" t="n"/>
      <c r="G21" s="1177" t="n"/>
      <c r="H21" s="1403" t="inlineStr">
        <is>
          <t>kJ/s</t>
        </is>
      </c>
      <c r="I21" s="1450">
        <f>IF(LEFT(A1,2)="WP", "Aantal kamers Mash Filter","Lauterfactor")</f>
        <v/>
      </c>
      <c r="J21" s="1114" t="n"/>
      <c r="K21" s="1114" t="n"/>
      <c r="L21" s="1114" t="n"/>
      <c r="M21" s="1114" t="n"/>
      <c r="N21" s="1114" t="n"/>
      <c r="O21" s="1115" t="n"/>
      <c r="P21" s="1451" t="inlineStr">
        <is>
          <t>Filtratie tijd</t>
        </is>
      </c>
      <c r="Q21" s="1093" t="n"/>
      <c r="R21" s="1093" t="n"/>
      <c r="S21" s="1452" t="n"/>
      <c r="T21" s="1453" t="inlineStr">
        <is>
          <t>min</t>
        </is>
      </c>
      <c r="U21" s="1452" t="n"/>
      <c r="V21" s="1453" t="inlineStr">
        <is>
          <t>min</t>
        </is>
      </c>
      <c r="W21" s="1452" t="n"/>
      <c r="X21" s="1454" t="inlineStr">
        <is>
          <t>min</t>
        </is>
      </c>
      <c r="Y21" s="1452" t="n"/>
      <c r="Z21" s="1454" t="inlineStr">
        <is>
          <t>min</t>
        </is>
      </c>
      <c r="AA21" s="1452" t="n"/>
      <c r="AB21" s="1454" t="inlineStr">
        <is>
          <t>min</t>
        </is>
      </c>
      <c r="AC21" s="1452" t="n"/>
      <c r="AD21" s="1454" t="inlineStr">
        <is>
          <t>min</t>
        </is>
      </c>
      <c r="AE21" s="1452" t="n"/>
      <c r="AF21" s="1454" t="inlineStr">
        <is>
          <t>min</t>
        </is>
      </c>
      <c r="AG21" s="1452" t="n"/>
      <c r="AH21" s="1454" t="inlineStr">
        <is>
          <t>min</t>
        </is>
      </c>
      <c r="AI21" s="1452" t="n"/>
      <c r="AJ21" s="1454" t="inlineStr">
        <is>
          <t>min</t>
        </is>
      </c>
      <c r="AK21" s="1340" t="n"/>
    </row>
    <row r="22" ht="14.25" customFormat="1" customHeight="1" s="1099">
      <c r="A22" s="1455" t="inlineStr">
        <is>
          <t>Whirlpool rust</t>
        </is>
      </c>
      <c r="B22" s="1455" t="n"/>
      <c r="C22" s="1455" t="n"/>
      <c r="D22" s="1455" t="n"/>
      <c r="E22" s="1456" t="n"/>
      <c r="F22" s="1457" t="n"/>
      <c r="G22" s="1198" t="n"/>
      <c r="H22" s="1458">
        <f>IF(LEFT(A1,2)="WP", " ","min")</f>
        <v/>
      </c>
      <c r="I22" s="1459" t="n"/>
      <c r="J22" s="1114" t="n"/>
      <c r="K22" s="1114" t="n"/>
      <c r="L22" s="1114" t="n"/>
      <c r="M22" s="1114" t="n"/>
      <c r="N22" s="1114" t="n"/>
      <c r="O22" s="1115" t="n"/>
      <c r="P22" s="1460" t="inlineStr">
        <is>
          <t>Koken</t>
        </is>
      </c>
      <c r="Q22" s="1315" t="n"/>
      <c r="R22" s="1315" t="n"/>
      <c r="S22" s="1461" t="n"/>
      <c r="T22" s="1462" t="n"/>
      <c r="U22" s="1462" t="n"/>
      <c r="V22" s="1462" t="n"/>
      <c r="W22" s="1462" t="n"/>
      <c r="X22" s="1462" t="n"/>
      <c r="Y22" s="1462" t="n"/>
      <c r="Z22" s="1462" t="n"/>
      <c r="AA22" s="1462" t="n"/>
      <c r="AB22" s="1462" t="n"/>
      <c r="AC22" s="1462" t="n"/>
      <c r="AD22" s="1463" t="n"/>
      <c r="AE22" s="1462" t="n"/>
      <c r="AF22" s="1463" t="n"/>
      <c r="AG22" s="1462" t="n"/>
      <c r="AH22" s="1463" t="n"/>
      <c r="AI22" s="1462" t="n"/>
      <c r="AJ22" s="1463" t="n"/>
      <c r="AK22" s="1340" t="n"/>
    </row>
    <row r="23" ht="14.25" customFormat="1" customHeight="1" s="1099">
      <c r="A23" s="1450" t="inlineStr">
        <is>
          <t>Maisch schema</t>
        </is>
      </c>
      <c r="B23" s="1114" t="n"/>
      <c r="C23" s="1114" t="n"/>
      <c r="D23" s="1114" t="n"/>
      <c r="E23" s="1114" t="n"/>
      <c r="F23" s="1114" t="n"/>
      <c r="G23" s="1114" t="n"/>
      <c r="H23" s="1115" t="n"/>
      <c r="I23" s="1450">
        <f>IF(LEFT(A1,2)="WP", "Toevoegingen:","Extra toevoegingen")</f>
        <v/>
      </c>
      <c r="J23" s="1114" t="n"/>
      <c r="K23" s="1114" t="n"/>
      <c r="L23" s="1114" t="n"/>
      <c r="M23" s="1114" t="n"/>
      <c r="N23" s="1114" t="n"/>
      <c r="O23" s="1115" t="n"/>
      <c r="P23" s="1360" t="inlineStr">
        <is>
          <t>pH begin kook</t>
        </is>
      </c>
      <c r="Q23" s="1106" t="n"/>
      <c r="R23" s="1106" t="n"/>
      <c r="S23" s="1464" t="n"/>
      <c r="T23" s="1465" t="n"/>
      <c r="U23" s="1464" t="n"/>
      <c r="V23" s="1465" t="n"/>
      <c r="W23" s="1464" t="n"/>
      <c r="X23" s="1465" t="n"/>
      <c r="Y23" s="1464" t="n"/>
      <c r="Z23" s="1465" t="n"/>
      <c r="AA23" s="1464" t="n"/>
      <c r="AB23" s="1465" t="n"/>
      <c r="AC23" s="1464" t="n"/>
      <c r="AD23" s="1465" t="n"/>
      <c r="AE23" s="1464" t="n"/>
      <c r="AF23" s="1465" t="n"/>
      <c r="AG23" s="1464" t="n"/>
      <c r="AH23" s="1465" t="n"/>
      <c r="AI23" s="1464" t="n"/>
      <c r="AJ23" s="1465" t="n"/>
      <c r="AK23" s="1340" t="n"/>
    </row>
    <row r="24" ht="14.25" customFormat="1" customHeight="1" s="1099">
      <c r="A24" s="1466" t="inlineStr">
        <is>
          <t>Inmaischen</t>
        </is>
      </c>
      <c r="C24" s="1467" t="n"/>
      <c r="D24" s="1223" t="n"/>
      <c r="E24" s="1468" t="inlineStr">
        <is>
          <t xml:space="preserve"> ⁰C</t>
        </is>
      </c>
      <c r="F24" s="1469" t="n"/>
      <c r="G24" s="1341" t="inlineStr">
        <is>
          <t>Minuten rust</t>
        </is>
      </c>
      <c r="H24" s="1470" t="n"/>
      <c r="I24" s="1459" t="inlineStr">
        <is>
          <t xml:space="preserve">Toevoegingen </t>
        </is>
      </c>
      <c r="J24" s="1114" t="n"/>
      <c r="K24" s="1115" t="n"/>
      <c r="L24" s="1471" t="inlineStr">
        <is>
          <t>Hoeveelheid</t>
        </is>
      </c>
      <c r="M24" s="1115" t="n"/>
      <c r="N24" s="1471" t="inlineStr">
        <is>
          <t>Moment</t>
        </is>
      </c>
      <c r="O24" s="1115" t="n"/>
      <c r="P24" s="1446" t="inlineStr">
        <is>
          <t>Extract begin kook</t>
        </is>
      </c>
      <c r="Q24" s="1078" t="n"/>
      <c r="R24" s="1078" t="n"/>
      <c r="S24" s="1447" t="n"/>
      <c r="T24" s="1472" t="inlineStr">
        <is>
          <t>°P</t>
        </is>
      </c>
      <c r="U24" s="1447" t="n"/>
      <c r="V24" s="1473" t="inlineStr">
        <is>
          <t>°P</t>
        </is>
      </c>
      <c r="W24" s="1447" t="n"/>
      <c r="X24" s="1472" t="inlineStr">
        <is>
          <t>°P</t>
        </is>
      </c>
      <c r="Y24" s="1447" t="n"/>
      <c r="Z24" s="1473" t="inlineStr">
        <is>
          <t>°P</t>
        </is>
      </c>
      <c r="AA24" s="1447" t="n"/>
      <c r="AB24" s="1473" t="inlineStr">
        <is>
          <t>°P</t>
        </is>
      </c>
      <c r="AC24" s="1447" t="n"/>
      <c r="AD24" s="1473" t="inlineStr">
        <is>
          <t>°P</t>
        </is>
      </c>
      <c r="AE24" s="1447" t="n"/>
      <c r="AF24" s="1473" t="inlineStr">
        <is>
          <t>°P</t>
        </is>
      </c>
      <c r="AG24" s="1447" t="n"/>
      <c r="AH24" s="1473" t="inlineStr">
        <is>
          <t>°P</t>
        </is>
      </c>
      <c r="AI24" s="1447" t="n"/>
      <c r="AJ24" s="1473" t="inlineStr">
        <is>
          <t>°P</t>
        </is>
      </c>
      <c r="AK24" s="1474">
        <f>AVERAGE(AI24,AG24,AE24,AC24,AA24,Y24,W24,U24,S24)</f>
        <v/>
      </c>
    </row>
    <row r="25" ht="14.25" customFormat="1" customHeight="1" s="1099">
      <c r="A25" s="1475" t="inlineStr">
        <is>
          <t>Verhogen naar</t>
        </is>
      </c>
      <c r="C25" s="1476" t="n"/>
      <c r="D25" s="1177" t="n"/>
      <c r="E25" s="1477" t="inlineStr">
        <is>
          <t xml:space="preserve"> ⁰C</t>
        </is>
      </c>
      <c r="F25" s="1478" t="n"/>
      <c r="G25" s="1341" t="inlineStr">
        <is>
          <t>Minuten rust</t>
        </is>
      </c>
      <c r="I25" s="1479">
        <f>IF(LEFT(A1,2)="WP",IF('Recept-voorblad'!A75="","",'Recept-voorblad'!A75),IF('Recept-voorblad'!A91="-","-",IF('Recept-voorblad'!A91="Revisie nummer","",'Recept-voorblad'!A91)))</f>
        <v/>
      </c>
      <c r="J25" s="1223" t="n"/>
      <c r="K25" s="1224" t="n"/>
      <c r="L25" s="1480">
        <f>IF(LEFT($A$1,2)="WP",IF('Recept-voorblad'!E75="","",'Recept-voorblad'!E75),IF('Recept-voorblad'!E91="","",'Recept-voorblad'!E91))</f>
        <v/>
      </c>
      <c r="M25" s="1481" t="n"/>
      <c r="N25" s="1482">
        <f>IF(LEFT($A$1,2)="WP",IF('Recept-voorblad'!I75="","",'Recept-voorblad'!I75),IF('Recept-voorblad'!I91="","",'Recept-voorblad'!I91))</f>
        <v/>
      </c>
      <c r="O25" s="1481" t="n"/>
      <c r="P25" s="1446" t="inlineStr">
        <is>
          <t>V begin kook (80°C)</t>
        </is>
      </c>
      <c r="Q25" s="1078" t="n"/>
      <c r="R25" s="1078" t="n"/>
      <c r="S25" s="1483" t="n"/>
      <c r="T25" s="1472" t="inlineStr">
        <is>
          <t>hl</t>
        </is>
      </c>
      <c r="U25" s="1483" t="n"/>
      <c r="V25" s="1473" t="inlineStr">
        <is>
          <t>hl</t>
        </is>
      </c>
      <c r="W25" s="1483" t="n"/>
      <c r="X25" s="1484" t="inlineStr">
        <is>
          <t>hl</t>
        </is>
      </c>
      <c r="Y25" s="1483" t="n"/>
      <c r="Z25" s="1485" t="inlineStr">
        <is>
          <t>hl</t>
        </is>
      </c>
      <c r="AA25" s="1483" t="n"/>
      <c r="AB25" s="1485" t="inlineStr">
        <is>
          <t>hl</t>
        </is>
      </c>
      <c r="AC25" s="1483" t="n"/>
      <c r="AD25" s="1485" t="inlineStr">
        <is>
          <t>hl</t>
        </is>
      </c>
      <c r="AE25" s="1483" t="n"/>
      <c r="AF25" s="1485" t="inlineStr">
        <is>
          <t>hl</t>
        </is>
      </c>
      <c r="AG25" s="1483" t="n"/>
      <c r="AH25" s="1485" t="inlineStr">
        <is>
          <t>hl</t>
        </is>
      </c>
      <c r="AI25" s="1483" t="n"/>
      <c r="AJ25" s="1485" t="inlineStr">
        <is>
          <t>hl</t>
        </is>
      </c>
      <c r="AK25" s="1340">
        <f>AVERAGE(AI25,AG25,AE25,AC25,AA25,Y25,W25,U25,S25)*COUNT(AI24,AG24,AE24,AC24,AA24,Y24,W24,U24,S24)</f>
        <v/>
      </c>
    </row>
    <row r="26" ht="14.25" customFormat="1" customHeight="1" s="1099">
      <c r="A26" s="1475" t="inlineStr">
        <is>
          <t>Verhogen naar</t>
        </is>
      </c>
      <c r="B26" s="1341" t="n"/>
      <c r="C26" s="1476" t="n"/>
      <c r="D26" s="1177" t="n"/>
      <c r="E26" s="1477" t="inlineStr">
        <is>
          <t xml:space="preserve"> ⁰C</t>
        </is>
      </c>
      <c r="F26" s="1478" t="n"/>
      <c r="G26" s="1341" t="inlineStr">
        <is>
          <t>Minuten rust</t>
        </is>
      </c>
      <c r="I26" s="1486">
        <f>IF(LEFT(A1,2)="WP",IF('Recept-voorblad'!A76="","",'Recept-voorblad'!A76),IF('Recept-voorblad'!A92="-","-",IF('Recept-voorblad'!A92="Revisie nummer","",'Recept-voorblad'!A92)))</f>
        <v/>
      </c>
      <c r="J26" s="1177" t="n"/>
      <c r="K26" s="1178" t="n"/>
      <c r="L26" s="1487">
        <f>IF(LEFT($A$1,2)="WP",IF('Recept-voorblad'!E76="","",'Recept-voorblad'!E76),IF('Recept-voorblad'!E92="","",'Recept-voorblad'!E92))</f>
        <v/>
      </c>
      <c r="M26" s="1488" t="n"/>
      <c r="N26" s="1489">
        <f>IF(LEFT($A$1,2)="WP",IF('Recept-voorblad'!I76="","",'Recept-voorblad'!I76),IF('Recept-voorblad'!I92="","",'Recept-voorblad'!I92))</f>
        <v/>
      </c>
      <c r="O26" s="1488" t="n"/>
      <c r="P26" s="1446" t="inlineStr">
        <is>
          <t>Zuurcorrectie</t>
        </is>
      </c>
      <c r="Q26" s="1078" t="n"/>
      <c r="R26" s="1078" t="n"/>
      <c r="S26" s="1443" t="n"/>
      <c r="T26" s="1490">
        <f>IF(LEFT(A1,2)="WP", "liter","milliliter")</f>
        <v/>
      </c>
      <c r="U26" s="1443" t="n"/>
      <c r="V26" s="1491">
        <f>IF(LEFT(A1,2)="WP", "liter","milliliter")</f>
        <v/>
      </c>
      <c r="W26" s="1443" t="n"/>
      <c r="X26" s="1492">
        <f>IF(LEFT(A1,2)="WP", "liter","milliliter")</f>
        <v/>
      </c>
      <c r="Y26" s="1443" t="n"/>
      <c r="Z26" s="1493">
        <f>IF(LEFT(A1,2)="WP", "liter","milliliter")</f>
        <v/>
      </c>
      <c r="AA26" s="1443" t="n"/>
      <c r="AB26" s="1494">
        <f>IF(LEFT(A1,2)="WP", "liter","milliliter")</f>
        <v/>
      </c>
      <c r="AC26" s="1443" t="n"/>
      <c r="AD26" s="1494">
        <f>IF(LEFT(A1,2)="WP", "liter","milliliter")</f>
        <v/>
      </c>
      <c r="AE26" s="1443" t="n"/>
      <c r="AF26" s="1494">
        <f>IF(LEFT(A1,2)="WP", "liter","milliliter")</f>
        <v/>
      </c>
      <c r="AG26" s="1443" t="n"/>
      <c r="AH26" s="1494">
        <f>IF(LEFT(A1,2)="WP", "liter","milliliter")</f>
        <v/>
      </c>
      <c r="AI26" s="1443" t="n"/>
      <c r="AJ26" s="1494">
        <f>IF(LEFT(A1,2)="WP", "liter","milliliter")</f>
        <v/>
      </c>
      <c r="AK26" s="1340" t="n"/>
    </row>
    <row r="27" ht="14.25" customFormat="1" customHeight="1" s="1099">
      <c r="A27" s="1475" t="inlineStr">
        <is>
          <t>Verhogen naar</t>
        </is>
      </c>
      <c r="B27" s="1341" t="n"/>
      <c r="C27" s="1476" t="n"/>
      <c r="D27" s="1177" t="n"/>
      <c r="E27" s="1477" t="inlineStr">
        <is>
          <t xml:space="preserve"> ⁰C</t>
        </is>
      </c>
      <c r="F27" s="1478" t="n"/>
      <c r="G27" s="1341" t="inlineStr">
        <is>
          <t>Minuten rust</t>
        </is>
      </c>
      <c r="I27" s="1486">
        <f>IF(LEFT(A1,2)="WP",IF('Recept-voorblad'!A77="","",'Recept-voorblad'!A77),IF('Recept-voorblad'!A93="-","-",IF('Recept-voorblad'!A93="Revisie nummer","",'Recept-voorblad'!A93)))</f>
        <v/>
      </c>
      <c r="J27" s="1177" t="n"/>
      <c r="K27" s="1178" t="n"/>
      <c r="L27" s="1487">
        <f>IF(LEFT($A$1,2)="WP",IF('Recept-voorblad'!E77="","",'Recept-voorblad'!E77),IF('Recept-voorblad'!E93="","",'Recept-voorblad'!E93))</f>
        <v/>
      </c>
      <c r="M27" s="1488" t="n"/>
      <c r="N27" s="1489">
        <f>IF(LEFT($A$1,2)="WP",IF('Recept-voorblad'!I77="","",'Recept-voorblad'!I77),IF('Recept-voorblad'!I93="","",'Recept-voorblad'!I93))</f>
        <v/>
      </c>
      <c r="O27" s="1488" t="n"/>
      <c r="P27" s="1495" t="inlineStr">
        <is>
          <t>pH na zuurcorrectie / tijd</t>
        </is>
      </c>
      <c r="Q27" s="1078" t="n"/>
      <c r="R27" s="1078" t="n"/>
      <c r="S27" s="1496" t="n"/>
      <c r="T27" s="1497" t="n"/>
      <c r="U27" s="1496" t="n"/>
      <c r="V27" s="1497" t="n"/>
      <c r="W27" s="1496" t="n"/>
      <c r="X27" s="1498" t="n"/>
      <c r="Y27" s="1499" t="n"/>
      <c r="Z27" s="1498" t="n"/>
      <c r="AA27" s="1499" t="n"/>
      <c r="AB27" s="1498" t="n"/>
      <c r="AC27" s="1499" t="n"/>
      <c r="AD27" s="1498" t="n"/>
      <c r="AE27" s="1499" t="n"/>
      <c r="AF27" s="1498" t="n"/>
      <c r="AG27" s="1499" t="n"/>
      <c r="AH27" s="1498" t="n"/>
      <c r="AI27" s="1499" t="n"/>
      <c r="AJ27" s="1498" t="n"/>
      <c r="AK27" s="1340" t="n"/>
    </row>
    <row r="28" ht="14.25" customFormat="1" customHeight="1" s="1099">
      <c r="A28" s="1475" t="inlineStr">
        <is>
          <t>Verhogen naar</t>
        </is>
      </c>
      <c r="C28" s="1476" t="n"/>
      <c r="D28" s="1177" t="n"/>
      <c r="E28" s="1477" t="inlineStr">
        <is>
          <t xml:space="preserve"> ⁰C</t>
        </is>
      </c>
      <c r="F28" s="1478" t="n"/>
      <c r="G28" s="1341" t="inlineStr">
        <is>
          <t>Minuten rust</t>
        </is>
      </c>
      <c r="I28" s="1486">
        <f>IF(LEFT(A1,2)="WP",IF('Recept-voorblad'!A78="","",'Recept-voorblad'!A78),IF('Recept-voorblad'!A94="-","-",IF('Recept-voorblad'!A94="Revisie nummer","",'Recept-voorblad'!A94)))</f>
        <v/>
      </c>
      <c r="J28" s="1177" t="n"/>
      <c r="K28" s="1178" t="n"/>
      <c r="L28" s="1487">
        <f>IF(LEFT($A$1,2)="WP",IF('Recept-voorblad'!E78="","",'Recept-voorblad'!E78),IF('Recept-voorblad'!E94="","",'Recept-voorblad'!E94))</f>
        <v/>
      </c>
      <c r="M28" s="1488" t="n"/>
      <c r="N28" s="1489">
        <f>IF(LEFT($A$1,2)="WP",IF('Recept-voorblad'!I78="","",'Recept-voorblad'!I78),IF('Recept-voorblad'!I94="","",'Recept-voorblad'!I94))</f>
        <v/>
      </c>
      <c r="O28" s="1488" t="n"/>
      <c r="P28" s="1446" t="inlineStr">
        <is>
          <t>Totale kooktijd</t>
        </is>
      </c>
      <c r="Q28" s="1078" t="n"/>
      <c r="R28" s="1078" t="n"/>
      <c r="S28" s="1500" t="n"/>
      <c r="T28" s="1501" t="inlineStr">
        <is>
          <t>min</t>
        </is>
      </c>
      <c r="U28" s="1500" t="n"/>
      <c r="V28" s="1502" t="inlineStr">
        <is>
          <t>min</t>
        </is>
      </c>
      <c r="W28" s="1503" t="n"/>
      <c r="X28" s="1501" t="inlineStr">
        <is>
          <t>min</t>
        </is>
      </c>
      <c r="Y28" s="1500" t="n"/>
      <c r="Z28" s="1502" t="inlineStr">
        <is>
          <t>min</t>
        </is>
      </c>
      <c r="AA28" s="1500" t="n"/>
      <c r="AB28" s="1502" t="inlineStr">
        <is>
          <t>min</t>
        </is>
      </c>
      <c r="AC28" s="1504" t="n"/>
      <c r="AD28" s="1505" t="inlineStr">
        <is>
          <t>min</t>
        </is>
      </c>
      <c r="AE28" s="1504" t="n"/>
      <c r="AF28" s="1505" t="inlineStr">
        <is>
          <t>min</t>
        </is>
      </c>
      <c r="AG28" s="1504" t="n"/>
      <c r="AH28" s="1505" t="inlineStr">
        <is>
          <t>min</t>
        </is>
      </c>
      <c r="AI28" s="1504" t="n"/>
      <c r="AJ28" s="1505" t="inlineStr">
        <is>
          <t>min</t>
        </is>
      </c>
      <c r="AK28" s="1340" t="n"/>
    </row>
    <row r="29" ht="13.5" customFormat="1" customHeight="1" s="1099">
      <c r="A29" s="1098" t="inlineStr">
        <is>
          <t>Uitmaischen op</t>
        </is>
      </c>
      <c r="C29" s="1506" t="n"/>
      <c r="D29" s="1507" t="n"/>
      <c r="E29" s="1508" t="inlineStr">
        <is>
          <t xml:space="preserve"> ⁰C</t>
        </is>
      </c>
      <c r="F29" s="1509" t="n"/>
      <c r="G29" s="1099" t="inlineStr">
        <is>
          <t>Minuten rust</t>
        </is>
      </c>
      <c r="I29" s="1486">
        <f>IF(LEFT(A1,2)="WP",IF('Recept-voorblad'!A79="","",'Recept-voorblad'!A79),IF('Recept-voorblad'!A95="-","-",IF('Recept-voorblad'!A95="Revisie nummer","",'Recept-voorblad'!A95)))</f>
        <v/>
      </c>
      <c r="J29" s="1177" t="n"/>
      <c r="K29" s="1178" t="n"/>
      <c r="L29" s="1487">
        <f>IF(LEFT($A$1,2)="WP",IF('Recept-voorblad'!E79="","",'Recept-voorblad'!E79),IF('Recept-voorblad'!E95="","",'Recept-voorblad'!E95))</f>
        <v/>
      </c>
      <c r="M29" s="1488" t="n"/>
      <c r="N29" s="1489">
        <f>IF(LEFT($A$1,2)="WP",IF('Recept-voorblad'!I79="","",'Recept-voorblad'!I79),IF('Recept-voorblad'!I95="","",'Recept-voorblad'!I95))</f>
        <v/>
      </c>
      <c r="O29" s="1488" t="n"/>
      <c r="P29" s="1369" t="inlineStr">
        <is>
          <t>Verdamping</t>
        </is>
      </c>
      <c r="Q29" s="1078" t="n"/>
      <c r="R29" s="1078" t="n"/>
      <c r="S29" s="1510">
        <f>IF(S31="","",(S31-S24)/S24*100)</f>
        <v/>
      </c>
      <c r="T29" s="1501" t="inlineStr">
        <is>
          <t>%</t>
        </is>
      </c>
      <c r="U29" s="1510">
        <f>IF(U31="","",(U31-U24)/U24*100)</f>
        <v/>
      </c>
      <c r="V29" s="1502" t="inlineStr">
        <is>
          <t>%</t>
        </is>
      </c>
      <c r="W29" s="1510">
        <f>IF(W31="","",(W31-W24)/W24*100)</f>
        <v/>
      </c>
      <c r="X29" s="1501" t="inlineStr">
        <is>
          <t>%</t>
        </is>
      </c>
      <c r="Y29" s="1510">
        <f>IF(Y31="","",(Y31-Y24)/Y24*100)</f>
        <v/>
      </c>
      <c r="Z29" s="1502" t="inlineStr">
        <is>
          <t>%</t>
        </is>
      </c>
      <c r="AA29" s="1510">
        <f>IF(AA31="","",(AA31-AA24)/AA24*100)</f>
        <v/>
      </c>
      <c r="AB29" s="1501" t="inlineStr">
        <is>
          <t>%</t>
        </is>
      </c>
      <c r="AC29" s="1510">
        <f>IF(AC31="","",(AC31-AC24)/AC24*100)</f>
        <v/>
      </c>
      <c r="AD29" s="1502" t="inlineStr">
        <is>
          <t>%</t>
        </is>
      </c>
      <c r="AE29" s="1510">
        <f>IF(AE31="","",(AE31-AE24)/AE24*100)</f>
        <v/>
      </c>
      <c r="AF29" s="1502" t="inlineStr">
        <is>
          <t>%</t>
        </is>
      </c>
      <c r="AG29" s="1510">
        <f>IF(AG31="","",(AG31-AG24)/AG24*100)</f>
        <v/>
      </c>
      <c r="AH29" s="1502" t="inlineStr">
        <is>
          <t>%</t>
        </is>
      </c>
      <c r="AI29" s="1510">
        <f>IF(AI31="","",(AI31-AI24)/AI24*100)</f>
        <v/>
      </c>
      <c r="AJ29" s="1502" t="inlineStr">
        <is>
          <t>%</t>
        </is>
      </c>
      <c r="AK29" s="1340" t="n"/>
    </row>
    <row r="30" ht="14.25" customFormat="1" customHeight="1" s="1099">
      <c r="A30" s="1088" t="n"/>
      <c r="B30" s="1089" t="n"/>
      <c r="C30" s="1511" t="n"/>
      <c r="D30" s="1511" t="n"/>
      <c r="E30" s="1089" t="n"/>
      <c r="F30" s="1512" t="n"/>
      <c r="G30" s="1089" t="n"/>
      <c r="H30" s="1090" t="n"/>
      <c r="I30" s="1513">
        <f>IF(LEFT(A1,2)="WP",IF('Recept-voorblad'!A80="","",'Recept-voorblad'!A80),"-")</f>
        <v/>
      </c>
      <c r="J30" s="1177" t="n"/>
      <c r="K30" s="1178" t="n"/>
      <c r="L30" s="1487">
        <f>IF(LEFT($A$1,2)="WP",IF('Recept-voorblad'!E80="","",'Recept-voorblad'!E80),"-")</f>
        <v/>
      </c>
      <c r="M30" s="1488" t="n"/>
      <c r="N30" s="1489">
        <f>IF(LEFT($A$1,2)="WP",IF('Recept-voorblad'!I80="","",'Recept-voorblad'!I80),"-")</f>
        <v/>
      </c>
      <c r="O30" s="1488" t="n"/>
      <c r="P30" s="1446" t="inlineStr">
        <is>
          <t>Extra toevoeging</t>
        </is>
      </c>
      <c r="Q30" s="1078" t="n"/>
      <c r="R30" s="1078" t="n"/>
      <c r="S30" s="1514" t="n"/>
      <c r="T30" s="1515" t="n"/>
      <c r="U30" s="1516" t="n"/>
      <c r="V30" s="1517" t="n"/>
      <c r="W30" s="1518" t="n"/>
      <c r="X30" s="1515" t="n"/>
      <c r="Y30" s="1516" t="n"/>
      <c r="Z30" s="1517" t="n"/>
      <c r="AA30" s="1516" t="n"/>
      <c r="AB30" s="1517" t="n"/>
      <c r="AC30" s="1519" t="n"/>
      <c r="AD30" s="1517" t="n"/>
      <c r="AE30" s="1519" t="n"/>
      <c r="AF30" s="1517" t="n"/>
      <c r="AG30" s="1519" t="n"/>
      <c r="AH30" s="1517" t="n"/>
      <c r="AI30" s="1519" t="n"/>
      <c r="AJ30" s="1517" t="n"/>
      <c r="AK30" s="1340" t="n"/>
    </row>
    <row r="31" ht="14.25" customFormat="1" customHeight="1" s="1099">
      <c r="A31" s="1098" t="n"/>
      <c r="C31" s="1520" t="n"/>
      <c r="D31" s="1520" t="n"/>
      <c r="F31" s="1521" t="n"/>
      <c r="H31" s="1100" t="n"/>
      <c r="I31" s="1513">
        <f>IF(LEFT(A1,2)="WP",IF('Recept-voorblad'!A81="","",'Recept-voorblad'!A81),"-")</f>
        <v/>
      </c>
      <c r="J31" s="1177" t="n"/>
      <c r="K31" s="1178" t="n"/>
      <c r="L31" s="1487">
        <f>IF(LEFT($A$1,2)="WP",IF('Recept-voorblad'!E81="","",'Recept-voorblad'!E81),"-")</f>
        <v/>
      </c>
      <c r="M31" s="1488" t="n"/>
      <c r="N31" s="1489">
        <f>IF(LEFT($A$1,2)="WP",IF('Recept-voorblad'!I81="","",'Recept-voorblad'!I81),"-")</f>
        <v/>
      </c>
      <c r="O31" s="1488" t="n"/>
      <c r="P31" s="1358" t="inlineStr">
        <is>
          <t>Extract einde kook</t>
        </is>
      </c>
      <c r="Q31" s="1093" t="n"/>
      <c r="R31" s="1093" t="n"/>
      <c r="S31" s="1522" t="n"/>
      <c r="T31" s="1523" t="inlineStr">
        <is>
          <t>°P</t>
        </is>
      </c>
      <c r="U31" s="1522" t="n"/>
      <c r="V31" s="1523" t="inlineStr">
        <is>
          <t>°P</t>
        </is>
      </c>
      <c r="W31" s="1522" t="n"/>
      <c r="X31" s="1523" t="inlineStr">
        <is>
          <t>°P</t>
        </is>
      </c>
      <c r="Y31" s="1522" t="n"/>
      <c r="Z31" s="1523" t="inlineStr">
        <is>
          <t>°P</t>
        </is>
      </c>
      <c r="AA31" s="1522" t="n"/>
      <c r="AB31" s="1523" t="inlineStr">
        <is>
          <t>°P</t>
        </is>
      </c>
      <c r="AC31" s="1522" t="n"/>
      <c r="AD31" s="1524" t="inlineStr">
        <is>
          <t>°P</t>
        </is>
      </c>
      <c r="AE31" s="1522" t="n"/>
      <c r="AF31" s="1524" t="inlineStr">
        <is>
          <t>°P</t>
        </is>
      </c>
      <c r="AG31" s="1522" t="n"/>
      <c r="AH31" s="1524" t="inlineStr">
        <is>
          <t>°P</t>
        </is>
      </c>
      <c r="AI31" s="1522" t="n"/>
      <c r="AJ31" s="1524" t="inlineStr">
        <is>
          <t>°P</t>
        </is>
      </c>
      <c r="AK31" s="1340" t="n"/>
    </row>
    <row r="32" ht="14.25" customFormat="1" customHeight="1" s="1099">
      <c r="A32" s="1098" t="n"/>
      <c r="C32" s="1520" t="n"/>
      <c r="D32" s="1520" t="n"/>
      <c r="F32" s="1521" t="n"/>
      <c r="H32" s="1100" t="n"/>
      <c r="I32" s="1513">
        <f>IF(LEFT(A1,2)="WP",IF('Recept-voorblad'!A82="","",'Recept-voorblad'!A82),"-")</f>
        <v/>
      </c>
      <c r="J32" s="1177" t="n"/>
      <c r="K32" s="1178" t="n"/>
      <c r="L32" s="1487">
        <f>IF(LEFT($A$1,2)="WP",IF('Recept-voorblad'!E82="","",'Recept-voorblad'!E82),"-")</f>
        <v/>
      </c>
      <c r="M32" s="1488" t="n"/>
      <c r="N32" s="1489">
        <f>IF(LEFT($A$1,2)="WP",IF('Recept-voorblad'!I82="","",'Recept-voorblad'!I82),"-")</f>
        <v/>
      </c>
      <c r="O32" s="1488" t="n"/>
      <c r="P32" s="1525" t="inlineStr">
        <is>
          <t>Whirlpool/ Einde kook</t>
        </is>
      </c>
      <c r="Q32" s="1315" t="n"/>
      <c r="R32" s="1315" t="n"/>
      <c r="S32" s="1380" t="n"/>
      <c r="T32" s="1381" t="n"/>
      <c r="U32" s="1381" t="n"/>
      <c r="V32" s="1381" t="n"/>
      <c r="W32" s="1381" t="n"/>
      <c r="X32" s="1381" t="n"/>
      <c r="Y32" s="1381" t="n"/>
      <c r="Z32" s="1381" t="n"/>
      <c r="AA32" s="1381" t="n"/>
      <c r="AB32" s="1381" t="n"/>
      <c r="AC32" s="1381" t="n"/>
      <c r="AD32" s="1382" t="n"/>
      <c r="AE32" s="1381" t="n"/>
      <c r="AF32" s="1382" t="n"/>
      <c r="AG32" s="1381" t="n"/>
      <c r="AH32" s="1382" t="n"/>
      <c r="AI32" s="1381" t="n"/>
      <c r="AJ32" s="1382" t="n"/>
      <c r="AK32" s="1340" t="n"/>
    </row>
    <row r="33" ht="14.25" customFormat="1" customHeight="1" s="1099">
      <c r="A33" s="1098" t="n"/>
      <c r="C33" s="1520" t="n"/>
      <c r="D33" s="1520" t="n"/>
      <c r="F33" s="1521" t="n"/>
      <c r="H33" s="1100" t="n"/>
      <c r="I33" s="1513">
        <f>IF(LEFT(A1,2)="WP",IF('Recept-voorblad'!A83="","",'Recept-voorblad'!A83),"-")</f>
        <v/>
      </c>
      <c r="J33" s="1177" t="n"/>
      <c r="K33" s="1178" t="n"/>
      <c r="L33" s="1487">
        <f>IF(LEFT($A$1,2)="WP",IF('Recept-voorblad'!E83="","",'Recept-voorblad'!E83),"-")</f>
        <v/>
      </c>
      <c r="M33" s="1488" t="n"/>
      <c r="N33" s="1489">
        <f>IF(LEFT($A$1,2)="WP",IF('Recept-voorblad'!I83="","",'Recept-voorblad'!I83),"-")</f>
        <v/>
      </c>
      <c r="O33" s="1488" t="n"/>
      <c r="P33" s="1526" t="inlineStr">
        <is>
          <t>Volume whirlpool</t>
        </is>
      </c>
      <c r="Q33" s="1106" t="n"/>
      <c r="R33" s="1106" t="n"/>
      <c r="S33" s="1390" t="n"/>
      <c r="T33" s="1391" t="inlineStr">
        <is>
          <t>hl</t>
        </is>
      </c>
      <c r="U33" s="1392" t="n"/>
      <c r="V33" s="1527" t="inlineStr">
        <is>
          <t>hl</t>
        </is>
      </c>
      <c r="W33" s="1390" t="n"/>
      <c r="X33" s="1528" t="inlineStr">
        <is>
          <t>hl</t>
        </is>
      </c>
      <c r="Y33" s="1392" t="n"/>
      <c r="Z33" s="1529" t="inlineStr">
        <is>
          <t>hl</t>
        </is>
      </c>
      <c r="AA33" s="1390" t="n"/>
      <c r="AB33" s="1528" t="inlineStr">
        <is>
          <t>hl</t>
        </is>
      </c>
      <c r="AC33" s="1392" t="n"/>
      <c r="AD33" s="1528" t="inlineStr">
        <is>
          <t>hl</t>
        </is>
      </c>
      <c r="AE33" s="1392" t="n"/>
      <c r="AF33" s="1528" t="inlineStr">
        <is>
          <t>hl</t>
        </is>
      </c>
      <c r="AG33" s="1392" t="n"/>
      <c r="AH33" s="1528" t="inlineStr">
        <is>
          <t>hl</t>
        </is>
      </c>
      <c r="AI33" s="1392" t="n"/>
      <c r="AJ33" s="1528" t="inlineStr">
        <is>
          <t>hl</t>
        </is>
      </c>
      <c r="AK33" s="1340">
        <f>AVERAGE(AI33,AG33,AE33,AC33,AA33,Y33,W33,U33,S33)*COUNT(AI33,AG33,AE33,AC33,AA33,Y33,W33,U33,S33)</f>
        <v/>
      </c>
    </row>
    <row r="34" ht="14.25" customFormat="1" customHeight="1" s="1099">
      <c r="A34" s="1167" t="n"/>
      <c r="B34" s="1168" t="n"/>
      <c r="C34" s="1530" t="n"/>
      <c r="D34" s="1530" t="n"/>
      <c r="E34" s="1168" t="n"/>
      <c r="F34" s="1531" t="n"/>
      <c r="G34" s="1168" t="n"/>
      <c r="H34" s="1169" t="n"/>
      <c r="I34" s="1532">
        <f>IF(LEFT(A1,2)="WP",IF('Recept-voorblad'!A84="","",'Recept-voorblad'!A84),"-")</f>
        <v/>
      </c>
      <c r="J34" s="1507" t="n"/>
      <c r="K34" s="1533" t="n"/>
      <c r="L34" s="1534">
        <f>IF(LEFT($A$1,2)="WP",IF('Recept-voorblad'!E84="","",'Recept-voorblad'!E84),"-")</f>
        <v/>
      </c>
      <c r="M34" s="1535" t="n"/>
      <c r="N34" s="1536">
        <f>IF(LEFT($A$1,2)="WP",IF('Recept-voorblad'!I84="","",'Recept-voorblad'!I84),"-")</f>
        <v/>
      </c>
      <c r="O34" s="1535" t="n"/>
      <c r="P34" s="1446" t="inlineStr">
        <is>
          <t>Extract</t>
        </is>
      </c>
      <c r="Q34" s="1078" t="n"/>
      <c r="R34" s="1078" t="n"/>
      <c r="S34" s="1483" t="n"/>
      <c r="T34" s="1473" t="inlineStr">
        <is>
          <t>°P</t>
        </is>
      </c>
      <c r="U34" s="1537" t="n"/>
      <c r="V34" s="1472" t="inlineStr">
        <is>
          <t>°P</t>
        </is>
      </c>
      <c r="W34" s="1483" t="n"/>
      <c r="X34" s="1473" t="inlineStr">
        <is>
          <t>°P</t>
        </is>
      </c>
      <c r="Y34" s="1537" t="n"/>
      <c r="Z34" s="1472" t="inlineStr">
        <is>
          <t>°P</t>
        </is>
      </c>
      <c r="AA34" s="1483" t="n"/>
      <c r="AB34" s="1473" t="inlineStr">
        <is>
          <t>°P</t>
        </is>
      </c>
      <c r="AC34" s="1537" t="n"/>
      <c r="AD34" s="1473" t="inlineStr">
        <is>
          <t>°P</t>
        </is>
      </c>
      <c r="AE34" s="1537" t="n"/>
      <c r="AF34" s="1473" t="inlineStr">
        <is>
          <t>°P</t>
        </is>
      </c>
      <c r="AG34" s="1537" t="n"/>
      <c r="AH34" s="1473" t="inlineStr">
        <is>
          <t>°P</t>
        </is>
      </c>
      <c r="AI34" s="1537" t="n"/>
      <c r="AJ34" s="1473" t="inlineStr">
        <is>
          <t>°P</t>
        </is>
      </c>
      <c r="AK34" s="1538">
        <f>AVERAGE(AI34,AG34,AE34,AC34,AA34,Y34,W34,U34,S34)</f>
        <v/>
      </c>
    </row>
    <row r="35" ht="14.25" customFormat="1" customHeight="1" s="1099">
      <c r="A35" s="1539" t="inlineStr">
        <is>
          <t>Hop dosering</t>
        </is>
      </c>
      <c r="B35" s="1080" t="n"/>
      <c r="C35" s="1080" t="n"/>
      <c r="D35" s="1080" t="n"/>
      <c r="E35" s="1080" t="n"/>
      <c r="F35" s="1080" t="n"/>
      <c r="G35" s="1081" t="n"/>
      <c r="H35" s="1540" t="inlineStr">
        <is>
          <t>HDT:</t>
        </is>
      </c>
      <c r="I35" s="1541">
        <f>IF(LEFT(A1,2)="WP", "Automatische dosering:","receptuur additieven")</f>
        <v/>
      </c>
      <c r="J35" s="1114" t="n"/>
      <c r="K35" s="1114" t="n"/>
      <c r="L35" s="1115" t="n"/>
      <c r="M35" s="1541">
        <f>IF(LEFT(A1,2)="WP", "Zuur [L]","hoeveel&amp;wanneer")</f>
        <v/>
      </c>
      <c r="N35" s="1541">
        <f>IF(LEFT(A1,2)="WP", "Tannines [L]","paraaf")</f>
        <v/>
      </c>
      <c r="O35" s="1115" t="n"/>
      <c r="P35" s="1369" t="inlineStr">
        <is>
          <t>pH</t>
        </is>
      </c>
      <c r="Q35" s="1078" t="n"/>
      <c r="R35" s="1078" t="n"/>
      <c r="S35" s="1542" t="n"/>
      <c r="T35" s="1543" t="n"/>
      <c r="U35" s="1542" t="n"/>
      <c r="V35" s="1543" t="n"/>
      <c r="W35" s="1542" t="n"/>
      <c r="X35" s="1544" t="n"/>
      <c r="Y35" s="1542" t="n"/>
      <c r="Z35" s="1544" t="n"/>
      <c r="AA35" s="1542" t="n"/>
      <c r="AB35" s="1544" t="n"/>
      <c r="AC35" s="1542" t="n"/>
      <c r="AD35" s="1544" t="n"/>
      <c r="AE35" s="1542" t="n"/>
      <c r="AF35" s="1544" t="n"/>
      <c r="AG35" s="1542" t="n"/>
      <c r="AH35" s="1544" t="n"/>
      <c r="AI35" s="1542" t="n"/>
      <c r="AJ35" s="1544" t="n"/>
      <c r="AK35" s="1340" t="n"/>
    </row>
    <row r="36" ht="14.25" customFormat="1" customHeight="1" s="1099">
      <c r="A36" s="1545" t="inlineStr">
        <is>
          <t>Hopgift</t>
        </is>
      </c>
      <c r="B36" s="1224" t="n"/>
      <c r="C36" s="1384">
        <f>'Recept-voorblad'!G43</f>
        <v/>
      </c>
      <c r="D36" s="1469" t="inlineStr">
        <is>
          <t>min</t>
        </is>
      </c>
      <c r="E36" s="1546">
        <f>IF(A36=" "," ", "doseerpunt")</f>
        <v/>
      </c>
      <c r="F36" s="1223" t="n"/>
      <c r="G36" s="1224" t="n"/>
      <c r="H36" s="1478">
        <f>IF(LEFT($A$1,2)="WP",IFERROR(INDEX('Recept-voorblad'!G42:Q56,MATCH(Brouwen!C36,'Recept-voorblad'!G42:G56,0),11),""),IF(IFERROR(1/INDEX('Recept-voorblad'!G42:Q56,MATCH(Brouwen!C36,'Recept-voorblad'!G42:G56,0),3),"nee")="nee",IF(Brouwen!C36="","","nee"),"ja"))</f>
        <v/>
      </c>
      <c r="I36" s="1547">
        <f>IF(LEFT(A1,2)="WP","Inmaischen",'Recept-voorblad'!A75)</f>
        <v/>
      </c>
      <c r="J36" s="1075" t="n"/>
      <c r="K36" s="1075" t="n"/>
      <c r="L36" s="1548">
        <f>IF(LEFT(A1,2)="WP", "(l/hl)"," ")</f>
        <v/>
      </c>
      <c r="M36" s="1549" t="n"/>
      <c r="N36" s="1550" t="n"/>
      <c r="O36" s="1224" t="n"/>
      <c r="P36" s="1369" t="inlineStr">
        <is>
          <t>Werkelijke rust tijd</t>
        </is>
      </c>
      <c r="Q36" s="1078" t="n"/>
      <c r="R36" s="1078" t="n"/>
      <c r="S36" s="1551" t="n"/>
      <c r="T36" s="1408" t="inlineStr">
        <is>
          <t>min</t>
        </is>
      </c>
      <c r="U36" s="1552" t="n"/>
      <c r="V36" s="1472" t="inlineStr">
        <is>
          <t>min</t>
        </is>
      </c>
      <c r="W36" s="1551" t="n"/>
      <c r="X36" s="1408" t="inlineStr">
        <is>
          <t>min</t>
        </is>
      </c>
      <c r="Y36" s="1553" t="n"/>
      <c r="Z36" s="1554" t="inlineStr">
        <is>
          <t>min</t>
        </is>
      </c>
      <c r="AA36" s="1555" t="n"/>
      <c r="AB36" s="1473" t="inlineStr">
        <is>
          <t>min</t>
        </is>
      </c>
      <c r="AC36" s="1552" t="n"/>
      <c r="AD36" s="1556" t="inlineStr">
        <is>
          <t>min</t>
        </is>
      </c>
      <c r="AE36" s="1552" t="n"/>
      <c r="AF36" s="1556" t="inlineStr">
        <is>
          <t>min</t>
        </is>
      </c>
      <c r="AG36" s="1552" t="n"/>
      <c r="AH36" s="1556" t="inlineStr">
        <is>
          <t>min</t>
        </is>
      </c>
      <c r="AI36" s="1552" t="n"/>
      <c r="AJ36" s="1556" t="inlineStr">
        <is>
          <t>min</t>
        </is>
      </c>
      <c r="AK36" s="1340" t="n"/>
    </row>
    <row r="37" ht="14.25" customFormat="1" customHeight="1" s="1099">
      <c r="A37" s="1557">
        <f>IF(C37="-"," ","Hopgift")</f>
        <v/>
      </c>
      <c r="B37" s="1178" t="n"/>
      <c r="C37" s="1402">
        <f t="array" ref="C37:C37">IFERROR(INDEX('Recept-voorblad'!G43:G57,MATCH(FALSE(),'Recept-voorblad'!G43:G57= C36,0)),"")</f>
        <v/>
      </c>
      <c r="D37" s="1478">
        <f>IF(C37=""," ","min")</f>
        <v/>
      </c>
      <c r="E37" s="1558">
        <f>IF(A37=" "," ", "doseerpunt")</f>
        <v/>
      </c>
      <c r="F37" s="1177" t="n"/>
      <c r="G37" s="1178" t="n"/>
      <c r="H37" s="1478">
        <f>IF(LEFT($A$1,2)="WP",IFERROR(INDEX('Recept-voorblad'!G43:Q57,MATCH(Brouwen!C37,'Recept-voorblad'!G43:G57,0),11),""),IF(IFERROR(1/INDEX('Recept-voorblad'!G43:Q57,MATCH(Brouwen!C37,'Recept-voorblad'!G43:G57,0),3),"nee")="nee",IF(Brouwen!C37="","","nee"),"ja"))</f>
        <v/>
      </c>
      <c r="I37" s="1559">
        <f>IF(LEFT(A1,2)="WP", "Koken",'Recept-voorblad'!A76)</f>
        <v/>
      </c>
      <c r="L37" s="1560">
        <f>IF(LEFT(A1,2)="WP", "(L)"," ")</f>
        <v/>
      </c>
      <c r="M37" s="1561" t="n"/>
      <c r="N37" s="1561" t="n"/>
      <c r="O37" s="1178" t="n"/>
      <c r="P37" s="1369" t="inlineStr">
        <is>
          <t>Beluchting</t>
        </is>
      </c>
      <c r="Q37" s="1078" t="n"/>
      <c r="R37" s="1078" t="n"/>
      <c r="S37" s="1562" t="n"/>
      <c r="T37" s="1563">
        <f>O14</f>
        <v/>
      </c>
      <c r="U37" s="1551" t="n"/>
      <c r="V37" s="1494">
        <f>T37</f>
        <v/>
      </c>
      <c r="W37" s="1564" t="n"/>
      <c r="X37" s="1494">
        <f>T37</f>
        <v/>
      </c>
      <c r="Y37" s="1565" t="n"/>
      <c r="Z37" s="1494">
        <f>T37</f>
        <v/>
      </c>
      <c r="AA37" s="1566" t="n"/>
      <c r="AB37" s="1494">
        <f>T37</f>
        <v/>
      </c>
      <c r="AC37" s="1566" t="n"/>
      <c r="AD37" s="1494">
        <f>T37</f>
        <v/>
      </c>
      <c r="AE37" s="1566" t="n"/>
      <c r="AF37" s="1494">
        <f>T37</f>
        <v/>
      </c>
      <c r="AG37" s="1566" t="n"/>
      <c r="AH37" s="1494">
        <f>T37</f>
        <v/>
      </c>
      <c r="AI37" s="1566" t="n"/>
      <c r="AJ37" s="1494">
        <f>T37</f>
        <v/>
      </c>
      <c r="AK37" s="1340" t="n"/>
    </row>
    <row r="38" ht="14.25" customFormat="1" customHeight="1" s="1099">
      <c r="A38" s="1557">
        <f>IF(C38="-"," ","Hopgift")</f>
        <v/>
      </c>
      <c r="B38" s="1178" t="n"/>
      <c r="C38" s="1567">
        <f t="array" ref="C38:C38">IFERROR(INDEX('Recept-voorblad'!G43:G57,MATCH(1,('Recept-voorblad'!G43:G57&lt;C37)*('Recept-voorblad'!G43:G57&lt;C36),0)),"")</f>
        <v/>
      </c>
      <c r="D38" s="1478">
        <f>IF(C38=""," ","min")</f>
        <v/>
      </c>
      <c r="E38" s="1558">
        <f>IF(A38=" "," ", "doseerpunt")</f>
        <v/>
      </c>
      <c r="F38" s="1177" t="n"/>
      <c r="G38" s="1178" t="n"/>
      <c r="H38" s="1478">
        <f>IF(LEFT($A$1,2)="WP",IFERROR(INDEX('Recept-voorblad'!G44:Q58,MATCH(Brouwen!C38,'Recept-voorblad'!G44:G58,0),11),""),IF(IFERROR(1/INDEX('Recept-voorblad'!G44:Q58,MATCH(Brouwen!C38,'Recept-voorblad'!G44:G58,0),3),"nee")="nee",IF(Brouwen!C38="","","nee"),"ja"))</f>
        <v/>
      </c>
      <c r="I38" s="1568">
        <f>IF(LEFT(A1,2)="WP", "Inline sparge",'Recept-voorblad'!A77)</f>
        <v/>
      </c>
      <c r="L38" s="1083" t="n"/>
      <c r="M38" s="1561" t="n"/>
      <c r="N38" s="1561" t="n"/>
      <c r="O38" s="1178" t="n"/>
      <c r="P38" s="1369" t="inlineStr">
        <is>
          <t>Water additie</t>
        </is>
      </c>
      <c r="Q38" s="1446" t="n"/>
      <c r="R38" s="1446" t="n"/>
      <c r="S38" s="1569" t="n"/>
      <c r="T38" s="1408" t="inlineStr">
        <is>
          <t>hl</t>
        </is>
      </c>
      <c r="U38" s="1570" t="n"/>
      <c r="V38" s="1571" t="inlineStr">
        <is>
          <t>hl</t>
        </is>
      </c>
      <c r="W38" s="1569" t="n"/>
      <c r="X38" s="1408" t="inlineStr">
        <is>
          <t>hl</t>
        </is>
      </c>
      <c r="Y38" s="1572" t="n"/>
      <c r="Z38" s="1554" t="inlineStr">
        <is>
          <t>hl</t>
        </is>
      </c>
      <c r="AA38" s="1573" t="n"/>
      <c r="AB38" s="1444" t="inlineStr">
        <is>
          <t>hl</t>
        </is>
      </c>
      <c r="AC38" s="1570" t="n"/>
      <c r="AD38" s="1574" t="inlineStr">
        <is>
          <t>hl</t>
        </is>
      </c>
      <c r="AE38" s="1570" t="n"/>
      <c r="AF38" s="1574" t="inlineStr">
        <is>
          <t>hl</t>
        </is>
      </c>
      <c r="AG38" s="1570" t="n"/>
      <c r="AH38" s="1574" t="inlineStr">
        <is>
          <t>hl</t>
        </is>
      </c>
      <c r="AI38" s="1570" t="n"/>
      <c r="AJ38" s="1574" t="inlineStr">
        <is>
          <t>hl</t>
        </is>
      </c>
      <c r="AK38" s="1340" t="n"/>
    </row>
    <row r="39" ht="14.25" customFormat="1" customHeight="1" s="1099">
      <c r="A39" s="1557">
        <f>IF(C39="-"," ","Hopgift")</f>
        <v/>
      </c>
      <c r="B39" s="1178" t="n"/>
      <c r="C39" s="1567">
        <f t="array" ref="C39:C39">IFERROR(INDEX('Recept-voorblad'!G44:G58,MATCH(1,('Recept-voorblad'!G44:G58&lt;C38)*('Recept-voorblad'!G44:G58&lt;C37),0)),"")</f>
        <v/>
      </c>
      <c r="D39" s="1478">
        <f>IF(C39=""," ","min")</f>
        <v/>
      </c>
      <c r="E39" s="1558">
        <f>IF(A39=" "," ", "doseerpunt")</f>
        <v/>
      </c>
      <c r="F39" s="1177" t="n"/>
      <c r="G39" s="1178" t="n"/>
      <c r="H39" s="1478">
        <f>IF(LEFT($A$1,2)="WP",IFERROR(INDEX('Recept-voorblad'!G45:Q59,MATCH(Brouwen!C39,'Recept-voorblad'!G45:G59,0),11),""),IF(IFERROR(1/INDEX('Recept-voorblad'!G45:Q59,MATCH(Brouwen!C39,'Recept-voorblad'!G45:G59,0),3),"nee")="nee",IF(Brouwen!C39="","","nee"),"ja"))</f>
        <v/>
      </c>
      <c r="I39" s="1568">
        <f>IF(LEFT(A1,2)="WP", " ",'Recept-voorblad'!A78)</f>
        <v/>
      </c>
      <c r="L39" s="1083" t="n"/>
      <c r="M39" s="1561">
        <f>IF(LEFT(A1,2)="WP"," ",'Recept-voorblad'!E78&amp;" "&amp;'Recept-voorblad'!I78)</f>
        <v/>
      </c>
      <c r="N39" s="1561" t="n"/>
      <c r="O39" s="1178" t="n"/>
      <c r="P39" s="1369" t="inlineStr">
        <is>
          <t>Volume brouwsel</t>
        </is>
      </c>
      <c r="Q39" s="1446" t="n"/>
      <c r="R39" s="1446" t="n"/>
      <c r="S39" s="1575">
        <f>IF(LEFT(A1,2)="WP","",S40)</f>
        <v/>
      </c>
      <c r="T39" s="1576" t="inlineStr">
        <is>
          <t>hl</t>
        </is>
      </c>
      <c r="U39" s="1577">
        <f>IF(LEFT(A1,2)="WP","",U40-S40)</f>
        <v/>
      </c>
      <c r="V39" s="1578" t="inlineStr">
        <is>
          <t>hl</t>
        </is>
      </c>
      <c r="W39" s="1575">
        <f>IF(LEFT(A1,2)="WP","",W40-U40)</f>
        <v/>
      </c>
      <c r="X39" s="1576" t="inlineStr">
        <is>
          <t>hl</t>
        </is>
      </c>
      <c r="Y39" s="1577">
        <f>IF(LEFT(A1,2)="WP","",Y40-W40)</f>
        <v/>
      </c>
      <c r="Z39" s="1578" t="inlineStr">
        <is>
          <t>hl</t>
        </is>
      </c>
      <c r="AA39" s="1575">
        <f>IF(LEFT(A1,2)="WP","",AA40-Y40)</f>
        <v/>
      </c>
      <c r="AB39" s="1576" t="inlineStr">
        <is>
          <t>hl</t>
        </is>
      </c>
      <c r="AC39" s="1577">
        <f>IF(LEFT(A1,2)="WP","",AC40-AA40)</f>
        <v/>
      </c>
      <c r="AD39" s="1579" t="inlineStr">
        <is>
          <t>hl</t>
        </is>
      </c>
      <c r="AE39" s="1577">
        <f>IF(LEFT(A1,2)="WP","",AE40-AC40)</f>
        <v/>
      </c>
      <c r="AF39" s="1579" t="inlineStr">
        <is>
          <t>hl</t>
        </is>
      </c>
      <c r="AG39" s="1577">
        <f>IF(LEFT(A1,2)="WP","",AG40-AE40)</f>
        <v/>
      </c>
      <c r="AH39" s="1579" t="inlineStr">
        <is>
          <t>hl</t>
        </is>
      </c>
      <c r="AI39" s="1577">
        <f>IF(LEFT(A1,2)="WP","",AI40-AG40)</f>
        <v/>
      </c>
      <c r="AJ39" s="1579" t="inlineStr">
        <is>
          <t>hl</t>
        </is>
      </c>
      <c r="AK39" s="1340" t="n"/>
    </row>
    <row r="40" ht="14.25" customFormat="1" customHeight="1" s="1099">
      <c r="A40" s="1557">
        <f>IF(C40=""," ","Hopgift")</f>
        <v/>
      </c>
      <c r="B40" s="1178" t="n"/>
      <c r="C40" s="1567">
        <f t="array" ref="C40:C40">IFERROR(INDEX('Recept-voorblad'!G45:G59,MATCH(1,('Recept-voorblad'!G45:G59&lt;C39)*('Recept-voorblad'!G45:G59&lt;C38),0)),"")</f>
        <v/>
      </c>
      <c r="D40" s="1478">
        <f>IF(C40=""," ","min")</f>
        <v/>
      </c>
      <c r="E40" s="1558">
        <f>IF(A40=" "," ", "doseerpunt")</f>
        <v/>
      </c>
      <c r="F40" s="1177" t="n"/>
      <c r="G40" s="1178" t="n"/>
      <c r="H40" s="1478">
        <f>IFERROR(INDEX('Recept-voorblad'!G46:Q60,MATCH(Brouwen!C40,'Recept-voorblad'!G46:G60,0),11),"")</f>
        <v/>
      </c>
      <c r="I40" s="1568">
        <f>IF(LEFT(A1,2)="WP", " ",'Recept-voorblad'!A79)</f>
        <v/>
      </c>
      <c r="L40" s="1083" t="n"/>
      <c r="M40" s="1561">
        <f>IF(LEFT(A1,2)="WP"," ",'Recept-voorblad'!E79&amp;" "&amp;'Recept-voorblad'!I79)</f>
        <v/>
      </c>
      <c r="N40" s="1561" t="n"/>
      <c r="O40" s="1178" t="n"/>
      <c r="P40" s="1580" t="inlineStr">
        <is>
          <t>Volume GLT</t>
        </is>
      </c>
      <c r="Q40" s="1495" t="n"/>
      <c r="R40" s="1495" t="n"/>
      <c r="S40" s="1581">
        <f>IFERROR(IF(LEFT(A1,2)="WP",S39+S38," "),"")</f>
        <v/>
      </c>
      <c r="T40" s="1582" t="inlineStr">
        <is>
          <t>hl</t>
        </is>
      </c>
      <c r="U40" s="1581">
        <f>IFERROR(IF(LEFT(A1,2)="WP",U39+U38+S40," "),"")</f>
        <v/>
      </c>
      <c r="V40" s="1582" t="inlineStr">
        <is>
          <t>hl</t>
        </is>
      </c>
      <c r="W40" s="1581">
        <f>IFERROR(IF(LEFT(A1,2)="WP",W39+W38+U40," "),"")</f>
        <v/>
      </c>
      <c r="X40" s="1582" t="inlineStr">
        <is>
          <t>hl</t>
        </is>
      </c>
      <c r="Y40" s="1581">
        <f>IFERROR(IF(LEFT(A1,2)="WP",Y39+Y38+W40," "),"")</f>
        <v/>
      </c>
      <c r="Z40" s="1582" t="inlineStr">
        <is>
          <t>hl</t>
        </is>
      </c>
      <c r="AA40" s="1581">
        <f>IFERROR(IF(LEFT(A1,2)="WP",AA39+AA38+Y40," "),"")</f>
        <v/>
      </c>
      <c r="AB40" s="1582" t="inlineStr">
        <is>
          <t>hl</t>
        </is>
      </c>
      <c r="AC40" s="1581">
        <f>IFERROR(IF(LEFT(A1,2)="WP",AC39+AC38+AA40," "),"")</f>
        <v/>
      </c>
      <c r="AD40" s="1582" t="inlineStr">
        <is>
          <t>hl</t>
        </is>
      </c>
      <c r="AE40" s="1581">
        <f>IFERROR(IF(LEFT(A1,2)="WP",AE39+AE38+AC40," "),"")</f>
        <v/>
      </c>
      <c r="AF40" s="1582" t="inlineStr">
        <is>
          <t>hl</t>
        </is>
      </c>
      <c r="AG40" s="1581">
        <f>IFERROR(IF(LEFT(A1,2)="WP",AG39+AG38+AE40," "),"")</f>
        <v/>
      </c>
      <c r="AH40" s="1582" t="inlineStr">
        <is>
          <t>hl</t>
        </is>
      </c>
      <c r="AI40" s="1581">
        <f>IFERROR(IF(LEFT(A1,2)="WP",AI39+AI38+AG40," "),"")</f>
        <v/>
      </c>
      <c r="AJ40" s="1582" t="inlineStr">
        <is>
          <t>hl</t>
        </is>
      </c>
      <c r="AK40" s="1538">
        <f>MAX(S40,U40,W40,Y40,AA40,AC40,AE40,AG40,AI40)</f>
        <v/>
      </c>
    </row>
    <row r="41" ht="14.25" customFormat="1" customHeight="1" s="1099">
      <c r="A41" s="1557">
        <f>IF(C41=""," ","Hopgift")</f>
        <v/>
      </c>
      <c r="B41" s="1178" t="n"/>
      <c r="C41" s="1567">
        <f t="array" ref="C41:C41">IFERROR(INDEX('Recept-voorblad'!G46:G60,MATCH(1,('Recept-voorblad'!G46:G60&lt;C40)*('Recept-voorblad'!G46:G60&lt;C39),0)),"")</f>
        <v/>
      </c>
      <c r="D41" s="1478">
        <f>IF(C41=""," ","min")</f>
        <v/>
      </c>
      <c r="E41" s="1558">
        <f>IF(A41=" "," ", "doseerpunt")</f>
        <v/>
      </c>
      <c r="F41" s="1177" t="n"/>
      <c r="G41" s="1178" t="n"/>
      <c r="H41" s="1478">
        <f>IFERROR(INDEX('Recept-voorblad'!G47:Q61,MATCH(Brouwen!C41,'Recept-voorblad'!G47:G61,0),11),"")</f>
        <v/>
      </c>
      <c r="I41" s="1568">
        <f>IF(LEFT(A1,2)="WP", " ",'Recept-voorblad'!A80)</f>
        <v/>
      </c>
      <c r="L41" s="1083" t="n"/>
      <c r="M41" s="1561">
        <f>IF(LEFT(A1,2)="WP"," ",'Recept-voorblad'!E80&amp;" "&amp;'Recept-voorblad'!I80)</f>
        <v/>
      </c>
      <c r="N41" s="1561" t="n"/>
      <c r="O41" s="1178" t="n"/>
      <c r="P41" s="1580" t="inlineStr">
        <is>
          <t>Extract Tank</t>
        </is>
      </c>
      <c r="Q41" s="1495" t="n"/>
      <c r="R41" s="1495" t="n"/>
      <c r="S41" s="1510">
        <f>IFERROR(IF(S39="","",(S42/S40)),"")</f>
        <v/>
      </c>
      <c r="T41" s="1583" t="inlineStr">
        <is>
          <t>°P</t>
        </is>
      </c>
      <c r="U41" s="1510">
        <f>IFERROR(IF(U39="",S41,((S42+U42)/U40)),"")</f>
        <v/>
      </c>
      <c r="V41" s="1583" t="inlineStr">
        <is>
          <t>°P</t>
        </is>
      </c>
      <c r="W41" s="1510">
        <f>IFERROR(IF(W34="",U41,((S42+U42+W42)/W40)),"")</f>
        <v/>
      </c>
      <c r="X41" s="1583" t="inlineStr">
        <is>
          <t>°P</t>
        </is>
      </c>
      <c r="Y41" s="1510">
        <f>IFERROR(IF(Y34="",W41,((S42+U42+W42+Y42)/Y40)),"")</f>
        <v/>
      </c>
      <c r="Z41" s="1583" t="inlineStr">
        <is>
          <t>°P</t>
        </is>
      </c>
      <c r="AA41" s="1510">
        <f>IFERROR(IF(AA34="",Y41,((S42+U42+W42+Y42+AA42)/AA40)),"")</f>
        <v/>
      </c>
      <c r="AB41" s="1583" t="inlineStr">
        <is>
          <t>°P</t>
        </is>
      </c>
      <c r="AC41" s="1510">
        <f>IFERROR(IF(AC34="",AA41,((S42+U42+W42+Y42+AA42+AC42)/AC40)),"")</f>
        <v/>
      </c>
      <c r="AD41" s="1583" t="inlineStr">
        <is>
          <t>°P</t>
        </is>
      </c>
      <c r="AE41" s="1510">
        <f>IFERROR(IF(AE34="",AC41,((S42+U42+W42+Y42+AA42+AC42+AE42)/AE40)),"")</f>
        <v/>
      </c>
      <c r="AF41" s="1583" t="inlineStr">
        <is>
          <t>°P</t>
        </is>
      </c>
      <c r="AG41" s="1510">
        <f>IFERROR(IF(AG34="",AE41,((S42+U42+W42+Y42+AA42+AC42+AE42+AG42)/AG40)),"")</f>
        <v/>
      </c>
      <c r="AH41" s="1583" t="inlineStr">
        <is>
          <t>°P</t>
        </is>
      </c>
      <c r="AI41" s="1510">
        <f>IFERROR(IF(AI34="",AG41,((S42+U42+W42+Y42+AA42+AC42+AE42+AG42+AI42)/AI40)),"")</f>
        <v/>
      </c>
      <c r="AJ41" s="1583" t="inlineStr">
        <is>
          <t>°P</t>
        </is>
      </c>
      <c r="AK41" s="1584">
        <f>AG41</f>
        <v/>
      </c>
    </row>
    <row r="42" ht="14.25" customFormat="1" customHeight="1" s="1099">
      <c r="A42" s="1557">
        <f>IF(C42=""," ","Hopgift")</f>
        <v/>
      </c>
      <c r="B42" s="1178" t="n"/>
      <c r="C42" s="1567">
        <f t="array" ref="C42:C42">IFERROR(INDEX('Recept-voorblad'!G47:G61,MATCH(1,('Recept-voorblad'!G47:G61&lt;C41)*('Recept-voorblad'!G47:G61&lt;C40)*('Recept-voorblad'!G47:G61&lt;C39),0)),"")</f>
        <v/>
      </c>
      <c r="D42" s="1585">
        <f>IF(C42=""," ","min")</f>
        <v/>
      </c>
      <c r="E42" s="1558">
        <f>IF(A42=" "," ", "doseerpunt")</f>
        <v/>
      </c>
      <c r="F42" s="1177" t="n"/>
      <c r="G42" s="1178" t="n"/>
      <c r="H42" s="1478">
        <f>IFERROR(INDEX('Recept-voorblad'!G48:Q62,MATCH(Brouwen!C42,'Recept-voorblad'!G48:G62,0),11),"")</f>
        <v/>
      </c>
      <c r="I42" s="1586" t="n"/>
      <c r="J42" s="1114" t="n"/>
      <c r="K42" s="1114" t="n"/>
      <c r="L42" s="1115" t="n"/>
      <c r="M42" s="1587" t="n"/>
      <c r="N42" s="1114" t="n"/>
      <c r="O42" s="1115" t="n"/>
      <c r="P42" s="1580" t="inlineStr">
        <is>
          <t>hl*plato</t>
        </is>
      </c>
      <c r="Q42" s="1495" t="n"/>
      <c r="R42" s="1495" t="n"/>
      <c r="S42" s="1588">
        <f>IFERROR(S34*S39,"")</f>
        <v/>
      </c>
      <c r="T42" s="1589" t="inlineStr">
        <is>
          <t>hl°P</t>
        </is>
      </c>
      <c r="U42" s="1588">
        <f>IFERROR(U34*U39,"")</f>
        <v/>
      </c>
      <c r="V42" s="1589" t="inlineStr">
        <is>
          <t>hl°P</t>
        </is>
      </c>
      <c r="W42" s="1588">
        <f>IFERROR(W34*W39,"")</f>
        <v/>
      </c>
      <c r="X42" s="1589" t="inlineStr">
        <is>
          <t>hl°P</t>
        </is>
      </c>
      <c r="Y42" s="1588">
        <f>IFERROR(Y34*Y39,"")</f>
        <v/>
      </c>
      <c r="Z42" s="1589" t="inlineStr">
        <is>
          <t>hl°P</t>
        </is>
      </c>
      <c r="AA42" s="1588">
        <f>IFERROR(AA34*AA39,"")</f>
        <v/>
      </c>
      <c r="AB42" s="1589" t="inlineStr">
        <is>
          <t>hl°P</t>
        </is>
      </c>
      <c r="AC42" s="1588">
        <f>IFERROR(AC34*AC39,"")</f>
        <v/>
      </c>
      <c r="AD42" s="1589" t="inlineStr">
        <is>
          <t>hl°P</t>
        </is>
      </c>
      <c r="AE42" s="1588">
        <f>IFERROR(AE34*AE39,"")</f>
        <v/>
      </c>
      <c r="AF42" s="1589" t="inlineStr">
        <is>
          <t>hl°P</t>
        </is>
      </c>
      <c r="AG42" s="1588">
        <f>IFERROR(AG34*AG39,"")</f>
        <v/>
      </c>
      <c r="AH42" s="1589" t="inlineStr">
        <is>
          <t>hl°P</t>
        </is>
      </c>
      <c r="AI42" s="1588">
        <f>IFERROR(AI34*AI39,"")</f>
        <v/>
      </c>
      <c r="AJ42" s="1589" t="inlineStr">
        <is>
          <t>hl°P</t>
        </is>
      </c>
      <c r="AK42" s="1340" t="n"/>
    </row>
    <row r="43" ht="14.25" customFormat="1" customHeight="1" s="1099">
      <c r="A43" s="1590" t="inlineStr">
        <is>
          <t>Opmerkingen :</t>
        </is>
      </c>
      <c r="B43" s="1591" t="n"/>
      <c r="C43" s="1592" t="n"/>
      <c r="D43" s="1223" t="n"/>
      <c r="E43" s="1223" t="n"/>
      <c r="F43" s="1223" t="n"/>
      <c r="G43" s="1223" t="n"/>
      <c r="H43" s="1223" t="n"/>
      <c r="I43" s="1223" t="n"/>
      <c r="J43" s="1224" t="n"/>
      <c r="K43" s="1587" t="inlineStr">
        <is>
          <t>Droge Gist enting:</t>
        </is>
      </c>
      <c r="L43" s="1114" t="n"/>
      <c r="M43" s="1114" t="n"/>
      <c r="N43" s="1114" t="n"/>
      <c r="O43" s="1115" t="n"/>
      <c r="P43" s="1580" t="inlineStr">
        <is>
          <t>Einde brouwen (dd-mm uu:mm)</t>
        </is>
      </c>
      <c r="Q43" s="1495" t="n"/>
      <c r="R43" s="1495" t="n"/>
      <c r="S43" s="1593" t="n"/>
      <c r="T43" s="1416" t="n"/>
      <c r="U43" s="1593" t="n"/>
      <c r="V43" s="1416" t="n"/>
      <c r="W43" s="1593" t="n"/>
      <c r="X43" s="1416" t="n"/>
      <c r="Y43" s="1593" t="n"/>
      <c r="Z43" s="1416" t="n"/>
      <c r="AA43" s="1593" t="n"/>
      <c r="AB43" s="1416" t="n"/>
      <c r="AC43" s="1593" t="n"/>
      <c r="AD43" s="1416" t="n"/>
      <c r="AE43" s="1593" t="n"/>
      <c r="AF43" s="1416" t="n"/>
      <c r="AG43" s="1593" t="n"/>
      <c r="AH43" s="1416" t="n"/>
      <c r="AI43" s="1593" t="n"/>
      <c r="AJ43" s="1416" t="n"/>
      <c r="AK43" s="1340" t="n"/>
    </row>
    <row r="44" ht="14.25" customHeight="1" s="1339">
      <c r="A44" s="1594" t="n"/>
      <c r="B44" s="1245" t="n"/>
      <c r="C44" s="1245" t="n"/>
      <c r="D44" s="1245" t="n"/>
      <c r="E44" s="1245" t="n"/>
      <c r="F44" s="1245" t="n"/>
      <c r="G44" s="1245" t="n"/>
      <c r="H44" s="1245" t="n"/>
      <c r="I44" s="1245" t="n"/>
      <c r="J44" s="1227" t="n"/>
      <c r="K44" s="1383" t="inlineStr">
        <is>
          <t>Temp start</t>
        </is>
      </c>
      <c r="L44" s="1075" t="n"/>
      <c r="M44" s="1076" t="n"/>
      <c r="N44" s="1595">
        <f>'Recept-voorblad'!F21</f>
        <v/>
      </c>
      <c r="O44" s="1224" t="n"/>
      <c r="P44" s="1596" t="inlineStr">
        <is>
          <t>Totale tijd brouwen</t>
        </is>
      </c>
      <c r="Q44" s="1597" t="n"/>
      <c r="R44" s="1597" t="n"/>
      <c r="S44" s="1598">
        <f>IF(LEFT(A1,2)="WP",S43-S6,(S43-S6)-S49)</f>
        <v/>
      </c>
      <c r="T44" s="1599" t="inlineStr">
        <is>
          <t>uur</t>
        </is>
      </c>
      <c r="U44" s="1598">
        <f>IF(LEFT(A1,2)="WP",U43-U6,(U43-U6)-U49)</f>
        <v/>
      </c>
      <c r="V44" s="1599" t="inlineStr">
        <is>
          <t>uur</t>
        </is>
      </c>
      <c r="W44" s="1598">
        <f>IF(LEFT(A1,2)="WP",W43-W6,(W43-W6)-W49)</f>
        <v/>
      </c>
      <c r="X44" s="1599" t="inlineStr">
        <is>
          <t>uur</t>
        </is>
      </c>
      <c r="Y44" s="1598">
        <f>IF(LEFT(A1,2)="WP",Y43-Y6,(Y43-Y6)-Y49)</f>
        <v/>
      </c>
      <c r="Z44" s="1599" t="inlineStr">
        <is>
          <t>uur</t>
        </is>
      </c>
      <c r="AA44" s="1598">
        <f>IF(LEFT(A1,2)="WP",AA43-AA6,(AA43-AA6)-AA49)</f>
        <v/>
      </c>
      <c r="AB44" s="1599" t="inlineStr">
        <is>
          <t>uur</t>
        </is>
      </c>
      <c r="AC44" s="1598">
        <f>IF(LEFT(A1,2)="WP",AC43-AC6,(AC43-AC6)-AC49)</f>
        <v/>
      </c>
      <c r="AD44" s="1599" t="inlineStr">
        <is>
          <t>uur</t>
        </is>
      </c>
      <c r="AE44" s="1598">
        <f>IF(LEFT(A1,2)="WP",AE43-AE6,(AE43-AE6)-AE49)</f>
        <v/>
      </c>
      <c r="AF44" s="1599" t="inlineStr">
        <is>
          <t>uur</t>
        </is>
      </c>
      <c r="AG44" s="1598">
        <f>IF(LEFT(A1,2)="WP",AG43-AG6,(AG43-AG6)-AG49)</f>
        <v/>
      </c>
      <c r="AH44" s="1599" t="inlineStr">
        <is>
          <t>uur</t>
        </is>
      </c>
      <c r="AI44" s="1598">
        <f>IF(LEFT(A1,2)="WP",AI43-AI6,(AI43-AI6)-AI49)</f>
        <v/>
      </c>
      <c r="AJ44" s="1599" t="inlineStr">
        <is>
          <t>uur</t>
        </is>
      </c>
    </row>
    <row r="45" ht="14.25" customHeight="1" s="1339">
      <c r="A45" s="1600" t="n"/>
      <c r="B45" s="1177" t="n"/>
      <c r="C45" s="1177" t="n"/>
      <c r="D45" s="1177" t="n"/>
      <c r="E45" s="1177" t="n"/>
      <c r="F45" s="1177" t="n"/>
      <c r="G45" s="1177" t="n"/>
      <c r="H45" s="1177" t="n"/>
      <c r="I45" s="1177" t="n"/>
      <c r="J45" s="1178" t="n"/>
      <c r="K45" s="1401" t="inlineStr">
        <is>
          <t>Temp max</t>
        </is>
      </c>
      <c r="M45" s="1083" t="n"/>
      <c r="N45" s="1601">
        <f>'Recept-voorblad'!F22</f>
        <v/>
      </c>
      <c r="O45" s="1178" t="n"/>
      <c r="P45" s="1602">
        <f>IF(LEFT(A1,2)="WP", " ","Beluchtingsfilter gestoomd?")</f>
        <v/>
      </c>
      <c r="Q45" s="1602" t="n"/>
      <c r="R45" s="1602" t="n"/>
      <c r="S45" s="1603" t="n"/>
      <c r="T45" s="1604" t="n"/>
      <c r="U45" s="1605" t="n"/>
      <c r="V45" s="1606" t="n"/>
      <c r="W45" s="1603" t="n"/>
      <c r="X45" s="1607" t="n"/>
      <c r="Y45" s="1605" t="n"/>
      <c r="Z45" s="1608" t="n"/>
      <c r="AA45" s="1603" t="n"/>
      <c r="AB45" s="1607" t="n"/>
      <c r="AC45" s="1605" t="n"/>
      <c r="AD45" s="1607" t="n"/>
      <c r="AE45" s="1605" t="n"/>
      <c r="AF45" s="1607" t="n"/>
      <c r="AG45" s="1605" t="n"/>
      <c r="AH45" s="1607" t="n"/>
      <c r="AI45" s="1605" t="n"/>
      <c r="AJ45" s="1607" t="n"/>
    </row>
    <row r="46" ht="14.25" customHeight="1" s="1339">
      <c r="A46" s="1600" t="n"/>
      <c r="B46" s="1177" t="n"/>
      <c r="C46" s="1177" t="n"/>
      <c r="D46" s="1177" t="n"/>
      <c r="E46" s="1177" t="n"/>
      <c r="F46" s="1177" t="n"/>
      <c r="G46" s="1177" t="n"/>
      <c r="H46" s="1177" t="n"/>
      <c r="I46" s="1177" t="n"/>
      <c r="J46" s="1178" t="n"/>
      <c r="K46" s="1401" t="inlineStr">
        <is>
          <t>Giststam</t>
        </is>
      </c>
      <c r="M46" s="1083" t="n"/>
      <c r="N46" s="1609">
        <f>SUBSTITUTE('Recept-voorblad'!A87&amp;IF('Recept-voorblad'!A88=0,"",'Recept-voorblad'!A88),"(g/brew)"," ")</f>
        <v/>
      </c>
      <c r="O46" s="1178" t="n"/>
      <c r="P46" s="1602">
        <f>IF(LEFT(A1,2)="WP", " ","Wortline gesteriliseerd?")</f>
        <v/>
      </c>
      <c r="Q46" s="1602" t="n"/>
      <c r="R46" s="1602" t="n"/>
      <c r="S46" s="1610" t="n"/>
      <c r="T46" s="1611" t="n"/>
      <c r="U46" s="1612" t="n"/>
      <c r="V46" s="1613" t="n"/>
      <c r="W46" s="1610" t="n"/>
      <c r="X46" s="1611" t="n"/>
      <c r="Y46" s="1612" t="n"/>
      <c r="Z46" s="1613" t="n"/>
      <c r="AA46" s="1610" t="n"/>
      <c r="AB46" s="1611" t="n"/>
      <c r="AC46" s="1612" t="n"/>
      <c r="AD46" s="1611" t="n"/>
      <c r="AE46" s="1612" t="n"/>
      <c r="AF46" s="1611" t="n"/>
      <c r="AG46" s="1612" t="n"/>
      <c r="AH46" s="1611" t="n"/>
      <c r="AI46" s="1612" t="n"/>
      <c r="AJ46" s="1611" t="n"/>
    </row>
    <row r="47" ht="14.25" customHeight="1" s="1339">
      <c r="A47" s="1614" t="n"/>
      <c r="B47" s="1177" t="n"/>
      <c r="C47" s="1177" t="n"/>
      <c r="D47" s="1177" t="n"/>
      <c r="E47" s="1177" t="n"/>
      <c r="F47" s="1177" t="n"/>
      <c r="G47" s="1177" t="n"/>
      <c r="H47" s="1177" t="n"/>
      <c r="I47" s="1177" t="n"/>
      <c r="J47" s="1178" t="n"/>
      <c r="K47" s="1401" t="inlineStr">
        <is>
          <t>Gerehydrateerd?</t>
        </is>
      </c>
      <c r="M47" s="1083" t="n"/>
      <c r="N47" s="1615" t="n"/>
      <c r="O47" s="1178" t="n"/>
      <c r="P47" s="1602">
        <f>IF(LEFT(A1,2)="WP", " ","CKT CIP")</f>
        <v/>
      </c>
      <c r="Q47" s="1602" t="n"/>
      <c r="R47" s="1602" t="n"/>
      <c r="S47" s="1616" t="n"/>
      <c r="T47" s="1416" t="n"/>
      <c r="U47" s="1616" t="n"/>
      <c r="V47" s="1416" t="n"/>
      <c r="W47" s="1616" t="n"/>
      <c r="X47" s="1416" t="n"/>
      <c r="Y47" s="1616" t="n"/>
      <c r="Z47" s="1416" t="n"/>
      <c r="AA47" s="1616" t="n"/>
      <c r="AB47" s="1416" t="n"/>
      <c r="AC47" s="1616" t="n"/>
      <c r="AD47" s="1416" t="n"/>
      <c r="AE47" s="1616" t="n"/>
      <c r="AF47" s="1416" t="n"/>
      <c r="AG47" s="1616" t="n"/>
      <c r="AH47" s="1416" t="n"/>
      <c r="AI47" s="1616" t="n"/>
      <c r="AJ47" s="1416" t="n"/>
    </row>
    <row r="48" ht="14.25" customHeight="1" s="1339">
      <c r="A48" s="1614" t="n"/>
      <c r="B48" s="1177" t="n"/>
      <c r="C48" s="1177" t="n"/>
      <c r="D48" s="1177" t="n"/>
      <c r="E48" s="1177" t="n"/>
      <c r="F48" s="1177" t="n"/>
      <c r="G48" s="1177" t="n"/>
      <c r="H48" s="1177" t="n"/>
      <c r="I48" s="1177" t="n"/>
      <c r="J48" s="1178" t="n"/>
      <c r="K48" s="1401" t="inlineStr">
        <is>
          <t>Gewicht [gram]</t>
        </is>
      </c>
      <c r="M48" s="1083" t="n"/>
      <c r="N48" s="1617">
        <f>'Recept-voorblad'!G87+IF('Recept-voorblad'!G88="",0,'Recept-voorblad'!G88)</f>
        <v/>
      </c>
      <c r="O48" s="1178" t="n"/>
      <c r="P48" s="1602">
        <f>IF(LEFT(A1,2)="WP", " ","Bostelbak nummer")</f>
        <v/>
      </c>
      <c r="Q48" s="1602" t="n"/>
      <c r="R48" s="1602" t="n"/>
      <c r="S48" s="1399" t="n"/>
      <c r="T48" s="1618" t="n"/>
      <c r="U48" s="1399" t="n"/>
      <c r="V48" s="1618" t="n"/>
      <c r="W48" s="1399" t="n"/>
      <c r="X48" s="1400" t="n"/>
      <c r="Y48" s="1399" t="n"/>
      <c r="Z48" s="1400" t="n"/>
      <c r="AA48" s="1399" t="n"/>
      <c r="AB48" s="1400" t="n"/>
      <c r="AC48" s="1399" t="n"/>
      <c r="AD48" s="1400" t="n"/>
      <c r="AE48" s="1399" t="n"/>
      <c r="AF48" s="1400" t="n"/>
      <c r="AG48" s="1399" t="n"/>
      <c r="AH48" s="1400" t="n"/>
      <c r="AI48" s="1399" t="n"/>
      <c r="AJ48" s="1400" t="n"/>
    </row>
    <row r="49" ht="14.25" customHeight="1" s="1339">
      <c r="A49" s="1614" t="n"/>
      <c r="B49" s="1177" t="n"/>
      <c r="C49" s="1177" t="n"/>
      <c r="D49" s="1177" t="n"/>
      <c r="E49" s="1177" t="n"/>
      <c r="F49" s="1177" t="n"/>
      <c r="G49" s="1177" t="n"/>
      <c r="H49" s="1177" t="n"/>
      <c r="I49" s="1177" t="n"/>
      <c r="J49" s="1178" t="n"/>
      <c r="K49" s="1401" t="inlineStr">
        <is>
          <t>Bij 1e brouwsel</t>
        </is>
      </c>
      <c r="M49" s="1083" t="n"/>
      <c r="N49" s="1615" t="n"/>
      <c r="O49" s="1178" t="n"/>
      <c r="P49" s="1602">
        <f>IF(LEFT(A1,2)="WP", " ","Pauze  in process (uu:mm)")</f>
        <v/>
      </c>
      <c r="Q49" s="1602" t="n"/>
      <c r="R49" s="1602" t="n"/>
      <c r="S49" s="1619" t="n"/>
      <c r="T49" s="1453" t="n"/>
      <c r="U49" s="1620" t="n"/>
      <c r="V49" s="1621" t="n"/>
      <c r="W49" s="1619" t="n"/>
      <c r="X49" s="1453" t="n"/>
      <c r="Y49" s="1620" t="n"/>
      <c r="Z49" s="1621" t="n"/>
      <c r="AA49" s="1619" t="n"/>
      <c r="AB49" s="1453" t="n"/>
      <c r="AC49" s="1620" t="n"/>
      <c r="AD49" s="1622" t="n"/>
      <c r="AE49" s="1620" t="n"/>
      <c r="AF49" s="1622" t="n"/>
      <c r="AG49" s="1620" t="n"/>
      <c r="AH49" s="1622" t="n"/>
      <c r="AI49" s="1620" t="n"/>
      <c r="AJ49" s="1622" t="n"/>
    </row>
    <row r="50" ht="14.25" customHeight="1" s="1339">
      <c r="A50" s="1614" t="n"/>
      <c r="B50" s="1177" t="n"/>
      <c r="C50" s="1177" t="n"/>
      <c r="D50" s="1177" t="n"/>
      <c r="E50" s="1177" t="n"/>
      <c r="F50" s="1177" t="n"/>
      <c r="G50" s="1177" t="n"/>
      <c r="H50" s="1177" t="n"/>
      <c r="I50" s="1177" t="n"/>
      <c r="J50" s="1178" t="n"/>
      <c r="K50" s="1401" t="inlineStr">
        <is>
          <t>Geënt op (datum):</t>
        </is>
      </c>
      <c r="M50" s="1083" t="n"/>
      <c r="N50" s="2211">
        <f>S6</f>
        <v/>
      </c>
      <c r="O50" s="1178" t="n"/>
      <c r="P50" s="1624" t="n"/>
      <c r="Q50" s="1624" t="n"/>
      <c r="R50" s="1602" t="n"/>
      <c r="S50" s="1625" t="n"/>
      <c r="T50" s="1625" t="n"/>
      <c r="U50" s="1625" t="n"/>
      <c r="V50" s="1625" t="n"/>
      <c r="W50" s="1626" t="n"/>
      <c r="X50" s="1626" t="n"/>
      <c r="Y50" s="1626" t="n"/>
      <c r="Z50" s="1626" t="n"/>
      <c r="AA50" s="1626" t="n"/>
      <c r="AB50" s="1626" t="n"/>
      <c r="AC50" s="1626" t="n"/>
      <c r="AD50" s="1626" t="n"/>
      <c r="AE50" s="1626" t="n"/>
      <c r="AF50" s="1626" t="n"/>
      <c r="AG50" s="1626" t="n"/>
      <c r="AH50" s="1627">
        <f>IF(((0.99894*AG40)+((3.77*10^-3)*(AG40^2))+((1.6682*10^-5)*(AG40^3)))*AG39,((0.99894*AG40)+((3.77*10^-3)*(AG40^2))+((1.6682*10^-5)*(AG40^3)))*AG39,"")</f>
        <v/>
      </c>
      <c r="AI50" s="1340" t="n"/>
    </row>
    <row r="51" ht="14.25" customHeight="1" s="1339">
      <c r="A51" s="1614" t="n"/>
      <c r="B51" s="1177" t="n"/>
      <c r="C51" s="1177" t="n"/>
      <c r="D51" s="1177" t="n"/>
      <c r="E51" s="1177" t="n"/>
      <c r="F51" s="1177" t="n"/>
      <c r="G51" s="1177" t="n"/>
      <c r="H51" s="1177" t="n"/>
      <c r="I51" s="1177" t="n"/>
      <c r="J51" s="1178" t="n"/>
      <c r="K51" s="1401" t="inlineStr">
        <is>
          <t>Door:</t>
        </is>
      </c>
      <c r="M51" s="1083" t="n"/>
      <c r="N51" s="1615" t="n"/>
      <c r="O51" s="1178" t="n"/>
      <c r="P51" s="1625" t="n"/>
      <c r="Q51" s="1625" t="n"/>
      <c r="R51" s="1625" t="n"/>
      <c r="S51" s="1625" t="n"/>
      <c r="T51" s="1625" t="n"/>
      <c r="U51" s="1625" t="n"/>
      <c r="V51" s="1625" t="n"/>
      <c r="W51" s="1625" t="n"/>
      <c r="X51" s="1625" t="n"/>
      <c r="Y51" s="1625" t="n"/>
      <c r="Z51" s="1625" t="n"/>
      <c r="AA51" s="1625" t="n"/>
      <c r="AB51" s="1625" t="n"/>
      <c r="AC51" s="1625" t="n"/>
      <c r="AD51" s="1625" t="n"/>
      <c r="AE51" s="1625" t="n"/>
      <c r="AF51" s="1625" t="n"/>
      <c r="AG51" s="1625" t="n"/>
      <c r="AH51" s="1625" t="n"/>
      <c r="AI51" s="1340" t="n"/>
    </row>
    <row r="52" ht="18.75" customHeight="1" s="1339">
      <c r="A52" s="1628" t="n"/>
      <c r="B52" s="1198" t="n"/>
      <c r="C52" s="1198" t="n"/>
      <c r="D52" s="1198" t="n"/>
      <c r="E52" s="1198" t="n"/>
      <c r="F52" s="1198" t="n"/>
      <c r="G52" s="1198" t="n"/>
      <c r="H52" s="1198" t="n"/>
      <c r="I52" s="1198" t="n"/>
      <c r="J52" s="1199" t="n"/>
      <c r="K52" s="1629" t="inlineStr">
        <is>
          <t>Programma aan?</t>
        </is>
      </c>
      <c r="L52" s="1080" t="n"/>
      <c r="M52" s="1081" t="n"/>
      <c r="N52" s="1630" t="n"/>
      <c r="O52" s="1199" t="n"/>
      <c r="P52" s="1631" t="n"/>
      <c r="Q52" s="1631" t="n"/>
      <c r="R52" s="1631" t="n"/>
      <c r="S52" s="1631" t="n"/>
      <c r="T52" s="1631" t="n"/>
      <c r="U52" s="1631" t="n"/>
      <c r="V52" s="1631" t="n"/>
      <c r="W52" s="1631" t="n"/>
      <c r="X52" s="1631" t="n"/>
      <c r="Y52" s="1631" t="n"/>
      <c r="Z52" s="1631" t="n"/>
      <c r="AA52" s="1631" t="n"/>
      <c r="AB52" s="1631" t="n"/>
      <c r="AC52" s="1631" t="n"/>
      <c r="AD52" s="1631" t="n"/>
      <c r="AE52" s="1631" t="n"/>
      <c r="AF52" s="1631" t="n"/>
      <c r="AG52" s="1631" t="n"/>
      <c r="AH52" s="1631" t="n"/>
      <c r="AI52" s="1340" t="n"/>
    </row>
    <row r="53" ht="18.75" customHeight="1" s="1339">
      <c r="A53" s="1625" t="n"/>
      <c r="B53" s="1625" t="n"/>
      <c r="C53" s="1625" t="n"/>
      <c r="D53" s="1625" t="n"/>
      <c r="E53" s="1625" t="n"/>
      <c r="F53" s="1625" t="n"/>
      <c r="G53" s="1625" t="n"/>
      <c r="H53" s="1625" t="n"/>
      <c r="I53" s="1625" t="n"/>
      <c r="J53" s="1625" t="n"/>
      <c r="K53" s="1625" t="n"/>
      <c r="L53" s="1625" t="n"/>
      <c r="M53" s="1625" t="n"/>
      <c r="N53" s="1625" t="n"/>
      <c r="O53" s="1625" t="n"/>
      <c r="P53" s="1632" t="n"/>
      <c r="Q53" s="1632" t="inlineStr">
        <is>
          <t>HL at GLT</t>
        </is>
      </c>
      <c r="S53" s="1633" t="n"/>
      <c r="T53" s="1632" t="inlineStr">
        <is>
          <t>pH at GLT</t>
        </is>
      </c>
      <c r="V53" s="1632" t="n"/>
      <c r="W53" s="1632" t="inlineStr">
        <is>
          <t>Total time</t>
        </is>
      </c>
      <c r="X53" s="1632" t="inlineStr">
        <is>
          <t>mash efficiency</t>
        </is>
      </c>
      <c r="Y53" s="1632" t="inlineStr">
        <is>
          <t xml:space="preserve">Boil efficiency </t>
        </is>
      </c>
      <c r="Z53" s="1632" t="inlineStr">
        <is>
          <t>BH efficiency</t>
        </is>
      </c>
      <c r="AA53" s="1634" t="inlineStr">
        <is>
          <t>WP Losses</t>
        </is>
      </c>
      <c r="AB53" s="1635" t="inlineStr">
        <is>
          <t>last run</t>
        </is>
      </c>
      <c r="AC53" s="1632" t="inlineStr">
        <is>
          <t>MASH pH</t>
        </is>
      </c>
      <c r="AD53" s="1636" t="inlineStr">
        <is>
          <t>filtration time</t>
        </is>
      </c>
      <c r="AE53" s="1632" t="inlineStr">
        <is>
          <t>hl strong run 20C</t>
        </is>
      </c>
      <c r="AF53" s="1637" t="inlineStr">
        <is>
          <t>HL*P Boil</t>
        </is>
      </c>
      <c r="AG53" s="1632" t="inlineStr">
        <is>
          <t xml:space="preserve">name </t>
        </is>
      </c>
      <c r="AH53" s="1632" t="inlineStr">
        <is>
          <t xml:space="preserve">batch </t>
        </is>
      </c>
      <c r="AI53" s="1625" t="n"/>
    </row>
    <row r="54" ht="18.75" customHeight="1" s="1339">
      <c r="A54" s="1625" t="n"/>
      <c r="B54" s="1625" t="n"/>
      <c r="C54" s="1625" t="n"/>
      <c r="D54" s="1625" t="n"/>
      <c r="E54" s="1625" t="n"/>
      <c r="F54" s="1625" t="n"/>
      <c r="G54" s="1625" t="n"/>
      <c r="H54" s="1625" t="n"/>
      <c r="I54" s="1625" t="n"/>
      <c r="J54" s="1631" t="n"/>
      <c r="K54" s="1631" t="n"/>
      <c r="L54" s="1631" t="n"/>
      <c r="M54" s="1631" t="n"/>
      <c r="N54" s="1631" t="n"/>
      <c r="O54" s="1631" t="n"/>
      <c r="P54" s="1632" t="n"/>
      <c r="Q54" s="1632" t="inlineStr">
        <is>
          <t xml:space="preserve">Value </t>
        </is>
      </c>
      <c r="R54" s="1633" t="inlineStr">
        <is>
          <t>target</t>
        </is>
      </c>
      <c r="S54" s="1633" t="n"/>
      <c r="T54" s="1632" t="inlineStr">
        <is>
          <t xml:space="preserve">Value </t>
        </is>
      </c>
      <c r="U54" s="1635" t="n"/>
      <c r="V54" s="1632" t="n"/>
      <c r="W54" s="1632" t="inlineStr">
        <is>
          <t xml:space="preserve">Value </t>
        </is>
      </c>
      <c r="X54" s="1632" t="n"/>
      <c r="Y54" s="1632" t="n"/>
      <c r="Z54" s="1632" t="n"/>
      <c r="AA54" s="1634" t="n"/>
      <c r="AB54" s="1633" t="n"/>
      <c r="AC54" s="1635" t="n"/>
      <c r="AD54" s="1637" t="n"/>
      <c r="AE54" s="1633" t="n"/>
      <c r="AF54" s="1637" t="n"/>
      <c r="AG54" s="1632" t="n"/>
      <c r="AH54" s="1632" t="n"/>
      <c r="AI54" s="1631" t="n"/>
      <c r="AJ54" s="1340" t="n"/>
    </row>
    <row r="55" ht="18.75" customHeight="1" s="1339">
      <c r="A55" s="1625" t="n"/>
      <c r="B55" s="1625" t="n"/>
      <c r="C55" s="1625" t="n"/>
      <c r="D55" s="1625" t="n"/>
      <c r="E55" s="1625" t="n"/>
      <c r="F55" s="1625" t="n"/>
      <c r="G55" s="1625" t="n"/>
      <c r="H55" s="1625" t="n"/>
      <c r="I55" s="1625" t="n"/>
      <c r="J55" s="1631" t="n"/>
      <c r="K55" s="1638" t="inlineStr">
        <is>
          <t>extract in - moisture (5%)</t>
        </is>
      </c>
      <c r="L55" s="1638">
        <f>'Recept-voorblad'!$T$15</f>
        <v/>
      </c>
      <c r="M55" s="1632" t="inlineStr">
        <is>
          <t xml:space="preserve">Date </t>
        </is>
      </c>
      <c r="N55" s="1632" t="inlineStr">
        <is>
          <t>P° at GLT</t>
        </is>
      </c>
      <c r="P55" s="1632" t="n"/>
      <c r="Q55" s="1632" t="inlineStr">
        <is>
          <t>HL at GLT</t>
        </is>
      </c>
      <c r="S55" s="1632" t="n"/>
      <c r="T55" s="1632" t="inlineStr">
        <is>
          <t>pH at GLT</t>
        </is>
      </c>
      <c r="V55" s="1632" t="n"/>
      <c r="W55" s="1632" t="inlineStr">
        <is>
          <t>Total time</t>
        </is>
      </c>
      <c r="X55" s="1632" t="inlineStr">
        <is>
          <t>mash efficiency</t>
        </is>
      </c>
      <c r="Y55" s="1632" t="inlineStr">
        <is>
          <t xml:space="preserve">Boil efficiency </t>
        </is>
      </c>
      <c r="Z55" s="1632" t="inlineStr">
        <is>
          <t>BH efficiency</t>
        </is>
      </c>
      <c r="AA55" s="1632" t="inlineStr">
        <is>
          <t>WP Losses</t>
        </is>
      </c>
      <c r="AB55" s="1632" t="inlineStr">
        <is>
          <t>last run</t>
        </is>
      </c>
      <c r="AC55" s="1632" t="inlineStr">
        <is>
          <t>MASH pH</t>
        </is>
      </c>
      <c r="AD55" s="1632" t="inlineStr">
        <is>
          <t>filtration time</t>
        </is>
      </c>
      <c r="AE55" s="1632" t="inlineStr">
        <is>
          <t>hl strong run 20C</t>
        </is>
      </c>
      <c r="AF55" s="1632" t="inlineStr">
        <is>
          <t>HL*P Boil</t>
        </is>
      </c>
      <c r="AG55" s="1632" t="inlineStr">
        <is>
          <t xml:space="preserve">name </t>
        </is>
      </c>
      <c r="AH55" s="1632" t="inlineStr">
        <is>
          <t xml:space="preserve">batch </t>
        </is>
      </c>
      <c r="AI55" s="1632" t="inlineStr">
        <is>
          <t>Comment</t>
        </is>
      </c>
      <c r="AJ55" s="1340" t="n"/>
    </row>
    <row r="56" ht="18.75" customHeight="1" s="1339">
      <c r="A56" s="1625" t="n"/>
      <c r="B56" s="1625" t="n"/>
      <c r="C56" s="1625" t="n"/>
      <c r="D56" s="1625" t="n"/>
      <c r="E56" s="1625" t="n"/>
      <c r="F56" s="1625" t="n"/>
      <c r="G56" s="1625" t="n"/>
      <c r="H56" s="1625" t="n"/>
      <c r="I56" s="1625" t="n"/>
      <c r="J56" s="1631" t="n"/>
      <c r="K56" s="1638" t="n"/>
      <c r="L56" s="1638" t="n"/>
      <c r="M56" s="1632" t="n"/>
      <c r="N56" s="1632" t="inlineStr">
        <is>
          <t xml:space="preserve">Value </t>
        </is>
      </c>
      <c r="O56" s="1632" t="inlineStr">
        <is>
          <t>target</t>
        </is>
      </c>
      <c r="P56" s="1632" t="n"/>
      <c r="Q56" s="1632" t="inlineStr">
        <is>
          <t xml:space="preserve">Value </t>
        </is>
      </c>
      <c r="R56" s="1632" t="inlineStr">
        <is>
          <t>target</t>
        </is>
      </c>
      <c r="S56" s="1632" t="n"/>
      <c r="T56" s="1632" t="inlineStr">
        <is>
          <t xml:space="preserve">Value </t>
        </is>
      </c>
      <c r="U56" s="1632" t="n"/>
      <c r="V56" s="1632" t="n"/>
      <c r="W56" s="1632" t="inlineStr">
        <is>
          <t xml:space="preserve">Value </t>
        </is>
      </c>
      <c r="X56" s="1632" t="n"/>
      <c r="Y56" s="1632" t="n"/>
      <c r="Z56" s="1632" t="n"/>
      <c r="AA56" s="1632" t="n"/>
      <c r="AB56" s="1632" t="n"/>
      <c r="AC56" s="1632" t="n"/>
      <c r="AD56" s="1632" t="n"/>
      <c r="AE56" s="1632" t="n"/>
      <c r="AF56" s="1632" t="n"/>
      <c r="AG56" s="1632" t="n"/>
      <c r="AH56" s="1632" t="n"/>
      <c r="AI56" s="1632" t="n"/>
      <c r="AJ56" s="1340" t="n"/>
    </row>
    <row r="57" ht="18.75" customHeight="1" s="1339">
      <c r="A57" s="1625" t="n"/>
      <c r="B57" s="1625" t="n"/>
      <c r="C57" s="1625" t="n"/>
      <c r="D57" s="1625" t="n"/>
      <c r="E57" s="1625" t="n"/>
      <c r="F57" s="1625" t="n"/>
      <c r="G57" s="1625" t="n"/>
      <c r="H57" s="1625" t="n"/>
      <c r="I57" s="1625" t="n"/>
      <c r="J57" s="1631" t="n"/>
      <c r="K57" s="1638" t="n"/>
      <c r="L57" s="1638" t="n"/>
      <c r="M57" s="2212">
        <f>$S$6</f>
        <v/>
      </c>
      <c r="N57" s="1640">
        <f>IFERROR(($S$34/($S$39+$S$38)*$S$39),"")</f>
        <v/>
      </c>
      <c r="O57" s="1641">
        <f>$N$8</f>
        <v/>
      </c>
      <c r="P57" s="1642">
        <f>IF(N57&lt;6," ",IF(N57&gt;(O57+0.5),0,IF(N57&lt;(O57-0.5),0,1)))</f>
        <v/>
      </c>
      <c r="Q57" s="1641">
        <f>IFERROR($S$39+$S$38,"")</f>
        <v/>
      </c>
      <c r="R57" s="1642">
        <f>$F$19</f>
        <v/>
      </c>
      <c r="S57" s="1642">
        <f>IF(Q57&lt;6," ",IF(Q57&gt;(R57+0.5),0,IF(Q57&lt;(R57-0.5),0,1)))</f>
        <v/>
      </c>
      <c r="T57" s="1640">
        <f>$S$35</f>
        <v/>
      </c>
      <c r="U57" s="1640">
        <f>$N$13</f>
        <v/>
      </c>
      <c r="V57" s="1642">
        <f>IF(T57&lt;2," ",IF(T57&gt;(U57+0.5),0,IF(T57&lt;(U57-0.5),0,1)))</f>
        <v/>
      </c>
      <c r="W57" s="1643">
        <f>$S$44</f>
        <v/>
      </c>
      <c r="X57" s="1644">
        <f>(($S$25-($S$25*0.03))*$S$24*((259/(259-$S$24))*0.9982))/$L$55</f>
        <v/>
      </c>
      <c r="Y57" s="1644">
        <f>(($S$33-($S$33*0.03))*$S$34*((259/(259-$S$34))*0.9982))/$L$55</f>
        <v/>
      </c>
      <c r="Z57" s="1644">
        <f>(Q57*N57*((259/(259-N57))*0.9982))/$L$55</f>
        <v/>
      </c>
      <c r="AA57" s="1644">
        <f>Y57-Z57</f>
        <v/>
      </c>
      <c r="AB57" s="1641">
        <f>$S$17</f>
        <v/>
      </c>
      <c r="AC57" s="1640">
        <f>$S$9</f>
        <v/>
      </c>
      <c r="AD57" s="1645">
        <f>$S$21</f>
        <v/>
      </c>
      <c r="AE57" s="1641">
        <f>$S$18-($S$18*0.03)</f>
        <v/>
      </c>
      <c r="AF57" s="1642">
        <f>S24*S25</f>
        <v/>
      </c>
      <c r="AG57" s="1642">
        <f>$E$3</f>
        <v/>
      </c>
      <c r="AH57" s="1642">
        <f>$N$3&amp;"-1"</f>
        <v/>
      </c>
      <c r="AI57" s="1646">
        <f>CONCATENATE(A47,A48,A49,A50,A51,A52)</f>
        <v/>
      </c>
      <c r="AJ57" s="1340" t="n"/>
    </row>
    <row r="58" ht="18.75" customHeight="1" s="1339">
      <c r="A58" s="1625" t="n"/>
      <c r="B58" s="1625" t="n"/>
      <c r="C58" s="1625" t="n"/>
      <c r="D58" s="1625" t="n"/>
      <c r="E58" s="1625" t="n"/>
      <c r="F58" s="1625" t="n"/>
      <c r="G58" s="1625" t="n"/>
      <c r="H58" s="1625" t="n"/>
      <c r="I58" s="1625" t="n"/>
      <c r="J58" s="1631" t="n"/>
      <c r="K58" s="1638" t="n"/>
      <c r="L58" s="1638" t="n"/>
      <c r="M58" s="2212">
        <f>$U$6</f>
        <v/>
      </c>
      <c r="N58" s="1640">
        <f>IFERROR(($U$34/($U$39+$U$38)*$U$39),"")</f>
        <v/>
      </c>
      <c r="O58" s="1641">
        <f>$N$8</f>
        <v/>
      </c>
      <c r="P58" s="1642">
        <f>IF(N58&lt;6," ",IF(N58&gt;(O58+0.5),0,IF(N58&lt;(O58-0.5),0,1)))</f>
        <v/>
      </c>
      <c r="Q58" s="1641">
        <f>IFERROR($U$39+$U$38,"")</f>
        <v/>
      </c>
      <c r="R58" s="1642">
        <f>$F$19</f>
        <v/>
      </c>
      <c r="S58" s="1642">
        <f>IF(Q58&lt;6," ",IF(Q58&gt;(R58+0.5),0,IF(Q58&lt;(R58-0.5),0,1)))</f>
        <v/>
      </c>
      <c r="T58" s="1640">
        <f>$U$35</f>
        <v/>
      </c>
      <c r="U58" s="1640">
        <f>$N$13</f>
        <v/>
      </c>
      <c r="V58" s="1642">
        <f>IF(T58&lt;2," ",IF(T58&gt;(U58+0.5),0,IF(T58&lt;(U58-0.5),0,1)))</f>
        <v/>
      </c>
      <c r="W58" s="1643">
        <f>$U$44</f>
        <v/>
      </c>
      <c r="X58" s="1644">
        <f>(($U$25-($U$25*0.03))*$U$24*((259/(259-$U$24))*0.9982))/$L$55</f>
        <v/>
      </c>
      <c r="Y58" s="1644">
        <f>(($U$33-($U$33*0.03))*$U$34*((259/(259-$U$34))*0.9982))/$L$55</f>
        <v/>
      </c>
      <c r="Z58" s="1644">
        <f>(Q58*N58*((259/(259-N58))*0.9982))/$L$55</f>
        <v/>
      </c>
      <c r="AA58" s="1644">
        <f>Y58-Z58</f>
        <v/>
      </c>
      <c r="AB58" s="1641">
        <f>$U$17</f>
        <v/>
      </c>
      <c r="AC58" s="1640">
        <f>$U$9</f>
        <v/>
      </c>
      <c r="AD58" s="1645">
        <f>$U$21</f>
        <v/>
      </c>
      <c r="AE58" s="1641">
        <f>$U$18-($U$18*0.03)</f>
        <v/>
      </c>
      <c r="AF58" s="1642">
        <f>U24*U25</f>
        <v/>
      </c>
      <c r="AG58" s="1642">
        <f>$E$3</f>
        <v/>
      </c>
      <c r="AH58" s="1642">
        <f>$N$3&amp;"-2"</f>
        <v/>
      </c>
      <c r="AI58" s="1646" t="n"/>
      <c r="AJ58" s="1340" t="n"/>
    </row>
    <row r="59" ht="18.75" customHeight="1" s="1339">
      <c r="A59" s="1625" t="n"/>
      <c r="B59" s="1625" t="n"/>
      <c r="C59" s="1625" t="n"/>
      <c r="D59" s="1625" t="n"/>
      <c r="E59" s="1625" t="n"/>
      <c r="F59" s="1625" t="n"/>
      <c r="G59" s="1625" t="n"/>
      <c r="H59" s="1625" t="n"/>
      <c r="I59" s="1625" t="n"/>
      <c r="J59" s="1631" t="n"/>
      <c r="K59" s="1638" t="n"/>
      <c r="L59" s="1638" t="n"/>
      <c r="M59" s="2212">
        <f>$W$6</f>
        <v/>
      </c>
      <c r="N59" s="1640">
        <f>IFERROR(($W$34/($W$39+$W$38)*$W$39),"")</f>
        <v/>
      </c>
      <c r="O59" s="1641">
        <f>$N$8</f>
        <v/>
      </c>
      <c r="P59" s="1642">
        <f>IF(N59&lt;6," ",IF(N59&gt;(O59+0.5),0,IF(N59&lt;(O59-0.5),0,1)))</f>
        <v/>
      </c>
      <c r="Q59" s="1641">
        <f>IFERROR($W$39+$W$38,"")</f>
        <v/>
      </c>
      <c r="R59" s="1642">
        <f>$F$19</f>
        <v/>
      </c>
      <c r="S59" s="1642">
        <f>IF(Q59&lt;6," ",IF(Q59&gt;(R59+0.5),0,IF(Q59&lt;(R59-0.5),0,1)))</f>
        <v/>
      </c>
      <c r="T59" s="1640">
        <f>$W$35</f>
        <v/>
      </c>
      <c r="U59" s="1640">
        <f>$N$13</f>
        <v/>
      </c>
      <c r="V59" s="1642">
        <f>IF(T59&lt;2," ",IF(T59&gt;(U59+0.5),0,IF(T59&lt;(U59-0.5),0,1)))</f>
        <v/>
      </c>
      <c r="W59" s="1643">
        <f>$W$44</f>
        <v/>
      </c>
      <c r="X59" s="1644">
        <f>(($W$25-($W$25*0.03))*$W$24*((259/(259-$W$24))*0.9982))/$L$55</f>
        <v/>
      </c>
      <c r="Y59" s="1644">
        <f>(($W$33-($W$33*0.03))*$W$34*((259/(259-$W$34))*0.9982))/$L$55</f>
        <v/>
      </c>
      <c r="Z59" s="1644">
        <f>(Q59*N59*((259/(259-N59))*0.9982))/$L$55</f>
        <v/>
      </c>
      <c r="AA59" s="1644">
        <f>Y59-Z59</f>
        <v/>
      </c>
      <c r="AB59" s="1641">
        <f>$W$17</f>
        <v/>
      </c>
      <c r="AC59" s="1640">
        <f>$W$9</f>
        <v/>
      </c>
      <c r="AD59" s="1645">
        <f>$W$21</f>
        <v/>
      </c>
      <c r="AE59" s="1641">
        <f>$W$18-($W$18*0.03)</f>
        <v/>
      </c>
      <c r="AF59" s="1642">
        <f>W24*W25</f>
        <v/>
      </c>
      <c r="AG59" s="1642">
        <f>$E$3</f>
        <v/>
      </c>
      <c r="AH59" s="1642">
        <f>$N$3&amp;"-3"</f>
        <v/>
      </c>
      <c r="AI59" s="1646" t="n"/>
      <c r="AJ59" s="1340" t="n"/>
    </row>
    <row r="60" ht="18.75" customHeight="1" s="1339">
      <c r="A60" s="1625" t="n"/>
      <c r="B60" s="1625" t="n"/>
      <c r="C60" s="1625" t="n"/>
      <c r="D60" s="1625" t="n"/>
      <c r="E60" s="1625" t="n"/>
      <c r="F60" s="1625" t="n"/>
      <c r="G60" s="1625" t="n"/>
      <c r="H60" s="1625" t="n"/>
      <c r="I60" s="1625" t="n"/>
      <c r="J60" s="1631" t="n"/>
      <c r="K60" s="1638" t="n"/>
      <c r="L60" s="1638" t="n"/>
      <c r="M60" s="2212">
        <f>$Y$6</f>
        <v/>
      </c>
      <c r="N60" s="1640">
        <f>IFERROR(($Y$34/($Y$39+$Y$38)*$Y$39),"")</f>
        <v/>
      </c>
      <c r="O60" s="1641">
        <f>$N$8</f>
        <v/>
      </c>
      <c r="P60" s="1642">
        <f>IF(N60&lt;6," ",IF(N60&gt;(O60+0.5),0,IF(N60&lt;(O60-0.5),0,1)))</f>
        <v/>
      </c>
      <c r="Q60" s="1641">
        <f>IFERROR($Y$39+$Y$38,"")</f>
        <v/>
      </c>
      <c r="R60" s="1642">
        <f>$F$19</f>
        <v/>
      </c>
      <c r="S60" s="1642">
        <f>IF(Q60&lt;6," ",IF(Q60&gt;(R60+0.5),0,IF(Q60&lt;(R60-0.5),0,1)))</f>
        <v/>
      </c>
      <c r="T60" s="1640">
        <f>$Y$35</f>
        <v/>
      </c>
      <c r="U60" s="1640">
        <f>$N$13</f>
        <v/>
      </c>
      <c r="V60" s="1642">
        <f>IF(T60&lt;2," ",IF(T60&gt;(U60+0.5),0,IF(T60&lt;(U60-0.5),0,1)))</f>
        <v/>
      </c>
      <c r="W60" s="1643">
        <f>$Y$44</f>
        <v/>
      </c>
      <c r="X60" s="1644">
        <f>(($Y$25-($Y$25*0.03))*$Y$24*((259/(259-$Y$24))*0.9982))/$L$55</f>
        <v/>
      </c>
      <c r="Y60" s="1644">
        <f>(($Y$33-($Y$33*0.03))*$Y$34*((259/(259-$Y$34))*0.9982))/$L$55</f>
        <v/>
      </c>
      <c r="Z60" s="1644">
        <f>(Q60*N60*((259/(259-N60))*0.9982))/$L$55</f>
        <v/>
      </c>
      <c r="AA60" s="1644">
        <f>Y60-Z60</f>
        <v/>
      </c>
      <c r="AB60" s="1641">
        <f>$Y$17</f>
        <v/>
      </c>
      <c r="AC60" s="1640">
        <f>$Y$9</f>
        <v/>
      </c>
      <c r="AD60" s="1645">
        <f>$Y$21</f>
        <v/>
      </c>
      <c r="AE60" s="1641">
        <f>$Y$18-($Y$18*0.03)</f>
        <v/>
      </c>
      <c r="AF60" s="1642">
        <f>Y24*Y25</f>
        <v/>
      </c>
      <c r="AG60" s="1642">
        <f>$E$3</f>
        <v/>
      </c>
      <c r="AH60" s="1642">
        <f>$N$3&amp;"-4"</f>
        <v/>
      </c>
      <c r="AI60" s="1646" t="n"/>
      <c r="AJ60" s="1340" t="n"/>
    </row>
    <row r="61" ht="18.75" customHeight="1" s="1339">
      <c r="A61" s="1625" t="n"/>
      <c r="B61" s="1625" t="n"/>
      <c r="C61" s="1625" t="n"/>
      <c r="D61" s="1625" t="n"/>
      <c r="E61" s="1625" t="n"/>
      <c r="F61" s="1625" t="n"/>
      <c r="G61" s="1625" t="n"/>
      <c r="H61" s="1625" t="n"/>
      <c r="I61" s="1625" t="n"/>
      <c r="J61" s="1631" t="n"/>
      <c r="K61" s="1638" t="n"/>
      <c r="L61" s="1638" t="n"/>
      <c r="M61" s="2212">
        <f>$AA$6</f>
        <v/>
      </c>
      <c r="N61" s="1640">
        <f>IFERROR(($AA$34/($AA$39+$AA$38)*$AA$39),"")</f>
        <v/>
      </c>
      <c r="O61" s="1641">
        <f>$N$8</f>
        <v/>
      </c>
      <c r="P61" s="1642">
        <f>IF(N61&lt;6," ",IF(N61&gt;(O61+0.5),0,IF(N61&lt;(O61-0.5),0,1)))</f>
        <v/>
      </c>
      <c r="Q61" s="1641">
        <f>IFERROR($AA$39+$AA$38,"")</f>
        <v/>
      </c>
      <c r="R61" s="1642">
        <f>$F$19</f>
        <v/>
      </c>
      <c r="S61" s="1642">
        <f>IF(Q61&lt;6," ",IF(Q61&gt;(R61+0.5),0,IF(Q61&lt;(R61-0.5),0,1)))</f>
        <v/>
      </c>
      <c r="T61" s="1640">
        <f>$AA$35</f>
        <v/>
      </c>
      <c r="U61" s="1640">
        <f>$N$13</f>
        <v/>
      </c>
      <c r="V61" s="1642">
        <f>IF(T61&lt;2," ",IF(T61&gt;(U61+0.5),0,IF(T61&lt;(U61-0.5),0,1)))</f>
        <v/>
      </c>
      <c r="W61" s="1643">
        <f>$AA$44</f>
        <v/>
      </c>
      <c r="X61" s="1644">
        <f>(($AA$25-($AA$25*0.03))*$AA$24*((259/(259-$AA$24))*0.9982))/$L$55</f>
        <v/>
      </c>
      <c r="Y61" s="1644">
        <f>(($AA$33-($AA$33*0.03))*$AA$34*((259/(259-$AA$34))*0.9982))/$L$55</f>
        <v/>
      </c>
      <c r="Z61" s="1644">
        <f>(Q61*N61*((259/(259-N61))*0.9982))/$L$55</f>
        <v/>
      </c>
      <c r="AA61" s="1644">
        <f>Y61-Z61</f>
        <v/>
      </c>
      <c r="AB61" s="1641">
        <f>$AA$17</f>
        <v/>
      </c>
      <c r="AC61" s="1640">
        <f>$AA$9</f>
        <v/>
      </c>
      <c r="AD61" s="1645">
        <f>$AA$21</f>
        <v/>
      </c>
      <c r="AE61" s="1641">
        <f>$AA$18-($AA$18*0.03)</f>
        <v/>
      </c>
      <c r="AF61" s="1642">
        <f>AA24*AA25</f>
        <v/>
      </c>
      <c r="AG61" s="1642">
        <f>$E$3</f>
        <v/>
      </c>
      <c r="AH61" s="1642">
        <f>$N$3&amp;"-5"</f>
        <v/>
      </c>
      <c r="AI61" s="1646" t="n"/>
      <c r="AJ61" s="1340" t="n"/>
    </row>
    <row r="62" ht="18.75" customHeight="1" s="1339">
      <c r="A62" s="1625" t="n"/>
      <c r="B62" s="1625" t="n"/>
      <c r="C62" s="1625" t="n"/>
      <c r="D62" s="1625" t="n"/>
      <c r="E62" s="1625" t="n"/>
      <c r="F62" s="1625" t="n"/>
      <c r="G62" s="1625" t="n"/>
      <c r="H62" s="1625" t="n"/>
      <c r="I62" s="1625" t="n"/>
      <c r="J62" s="1631" t="n"/>
      <c r="K62" s="1638" t="n"/>
      <c r="L62" s="1638" t="n"/>
      <c r="M62" s="2212">
        <f>$AC$6</f>
        <v/>
      </c>
      <c r="N62" s="1640">
        <f>IFERROR(($AC$34/($AC$39+$AC$38)*$AC$39),"")</f>
        <v/>
      </c>
      <c r="O62" s="1641">
        <f>$N$8</f>
        <v/>
      </c>
      <c r="P62" s="1642">
        <f>IF(N62&lt;6," ",IF(N62&gt;(O62+0.5),0,IF(N62&lt;(O62-0.5),0,1)))</f>
        <v/>
      </c>
      <c r="Q62" s="1641">
        <f>IFERROR($AC$39+$AC$38,"")</f>
        <v/>
      </c>
      <c r="R62" s="1642">
        <f>$F$19</f>
        <v/>
      </c>
      <c r="S62" s="1642">
        <f>IF(Q62&lt;6," ",IF(Q62&gt;(R62+0.5),0,IF(Q62&lt;(R62-0.5),0,1)))</f>
        <v/>
      </c>
      <c r="T62" s="1640">
        <f>$AC$35</f>
        <v/>
      </c>
      <c r="U62" s="1640">
        <f>$N$13</f>
        <v/>
      </c>
      <c r="V62" s="1642">
        <f>IF(T62&lt;2," ",IF(T62&gt;(U62+0.5),0,IF(T62&lt;(U62-0.5),0,1)))</f>
        <v/>
      </c>
      <c r="W62" s="1643">
        <f>$AC$44</f>
        <v/>
      </c>
      <c r="X62" s="1644">
        <f>(($AC$25-($AC$25*0.03))*$AC$24*((259/(259-$AC$24))*0.9982))/$L$55</f>
        <v/>
      </c>
      <c r="Y62" s="1644">
        <f>(($AC$33-($AC$33*0.03))*$AC$34*((259/(259-$AC$34))*0.9982))/$L$55</f>
        <v/>
      </c>
      <c r="Z62" s="1644">
        <f>(Q62*N62*((259/(259-N62))*0.9982))/$L$55</f>
        <v/>
      </c>
      <c r="AA62" s="1644">
        <f>Y62-Z62</f>
        <v/>
      </c>
      <c r="AB62" s="1641">
        <f>$AC$17</f>
        <v/>
      </c>
      <c r="AC62" s="1640">
        <f>$AC$9</f>
        <v/>
      </c>
      <c r="AD62" s="1645">
        <f>$AC$21</f>
        <v/>
      </c>
      <c r="AE62" s="1641">
        <f>$AC$18-($AC$18*0.03)</f>
        <v/>
      </c>
      <c r="AF62" s="1642">
        <f>AC24*AC25</f>
        <v/>
      </c>
      <c r="AG62" s="1642">
        <f>$E$3</f>
        <v/>
      </c>
      <c r="AH62" s="1642">
        <f>$N$3&amp;"-6"</f>
        <v/>
      </c>
      <c r="AI62" s="1646" t="n"/>
      <c r="AJ62" s="1340" t="n"/>
    </row>
    <row r="63" ht="18.75" customHeight="1" s="1339">
      <c r="A63" s="1625" t="n"/>
      <c r="B63" s="1625" t="n"/>
      <c r="C63" s="1625" t="n"/>
      <c r="D63" s="1625" t="n"/>
      <c r="E63" s="1625" t="n"/>
      <c r="F63" s="1625" t="n"/>
      <c r="G63" s="1625" t="n"/>
      <c r="H63" s="1625" t="n"/>
      <c r="I63" s="1625" t="n"/>
      <c r="J63" s="1631" t="n"/>
      <c r="K63" s="1638" t="n"/>
      <c r="L63" s="1638" t="n"/>
      <c r="M63" s="2212">
        <f>$AE$6</f>
        <v/>
      </c>
      <c r="N63" s="1640">
        <f>IFERROR(($AE$34/($AE$39+$AE$38)*$AE$39),"")</f>
        <v/>
      </c>
      <c r="O63" s="1641">
        <f>$N$8</f>
        <v/>
      </c>
      <c r="P63" s="1642">
        <f>IF(N63&lt;6," ",IF(N63&gt;(O63+0.5),0,IF(N63&lt;(O63-0.5),0,1)))</f>
        <v/>
      </c>
      <c r="Q63" s="1641">
        <f>IFERROR($AE$39+$AE$38,"")</f>
        <v/>
      </c>
      <c r="R63" s="1642">
        <f>$F$19</f>
        <v/>
      </c>
      <c r="S63" s="1642">
        <f>IF(Q63&lt;6," ",IF(Q63&gt;(R63+0.5),0,IF(Q63&lt;(R63-0.5),0,1)))</f>
        <v/>
      </c>
      <c r="T63" s="1640">
        <f>$AE$35</f>
        <v/>
      </c>
      <c r="U63" s="1640">
        <f>$N$13</f>
        <v/>
      </c>
      <c r="V63" s="1642">
        <f>IF(T63&lt;2," ",IF(T63&gt;(U63+0.5),0,IF(T63&lt;(U63-0.5),0,1)))</f>
        <v/>
      </c>
      <c r="W63" s="1643">
        <f>$AE$44</f>
        <v/>
      </c>
      <c r="X63" s="1644">
        <f>(($AE$25-($AE$25*0.03))*$AE$24*((259/(259-$AE$24))*0.9982))/$L$55</f>
        <v/>
      </c>
      <c r="Y63" s="1644">
        <f>(($AE$33-($AE$33*0.03))*$AE$34*((259/(259-$AE$34))*0.9982))/$L$55</f>
        <v/>
      </c>
      <c r="Z63" s="1644">
        <f>(Q63*N63*((259/(259-N63))*0.9982))/$L$55</f>
        <v/>
      </c>
      <c r="AA63" s="1644">
        <f>Y63-Z63</f>
        <v/>
      </c>
      <c r="AB63" s="1641">
        <f>$AE$17</f>
        <v/>
      </c>
      <c r="AC63" s="1640">
        <f>$AE$9</f>
        <v/>
      </c>
      <c r="AD63" s="1645">
        <f>$AE$21</f>
        <v/>
      </c>
      <c r="AE63" s="1641">
        <f>$AE$18-($AE$18*0.03)</f>
        <v/>
      </c>
      <c r="AF63" s="1642">
        <f>AE24*AE25</f>
        <v/>
      </c>
      <c r="AG63" s="1642">
        <f>$E$3</f>
        <v/>
      </c>
      <c r="AH63" s="1642">
        <f>$N$3&amp;"-7"</f>
        <v/>
      </c>
      <c r="AI63" s="1646" t="n"/>
      <c r="AJ63" s="1340" t="n"/>
    </row>
    <row r="64" ht="18.75" customHeight="1" s="1339">
      <c r="A64" s="1625" t="n"/>
      <c r="B64" s="1625" t="n"/>
      <c r="C64" s="1625" t="n"/>
      <c r="D64" s="1625" t="n"/>
      <c r="E64" s="1625" t="n"/>
      <c r="F64" s="1625" t="n"/>
      <c r="G64" s="1625" t="n"/>
      <c r="H64" s="1625" t="n"/>
      <c r="I64" s="1625" t="n"/>
      <c r="J64" s="1631" t="n"/>
      <c r="K64" s="1638" t="n"/>
      <c r="L64" s="1638" t="n"/>
      <c r="M64" s="2212">
        <f>$AG$6</f>
        <v/>
      </c>
      <c r="N64" s="1640">
        <f>IFERROR(($AG$34/($AG$39+$AG$38)*$AG$39),"")</f>
        <v/>
      </c>
      <c r="O64" s="1641">
        <f>$N$8</f>
        <v/>
      </c>
      <c r="P64" s="1642">
        <f>IF(N64&lt;6," ",IF(N64&gt;(O64+0.5),0,IF(N64&lt;(O64-0.5),0,1)))</f>
        <v/>
      </c>
      <c r="Q64" s="1641">
        <f>IFERROR($AG$39+$AG$38,"")</f>
        <v/>
      </c>
      <c r="R64" s="1642">
        <f>$F$19</f>
        <v/>
      </c>
      <c r="S64" s="1642">
        <f>IF(Q64&lt;6," ",IF(Q64&gt;(R64+0.5),0,IF(Q64&lt;(R64-0.5),0,1)))</f>
        <v/>
      </c>
      <c r="T64" s="1640">
        <f>$AG$35</f>
        <v/>
      </c>
      <c r="U64" s="1640">
        <f>$N$13</f>
        <v/>
      </c>
      <c r="V64" s="1642">
        <f>IF(T64&lt;2," ",IF(T64&gt;(U64+0.5),0,IF(T64&lt;(U64-0.5),0,1)))</f>
        <v/>
      </c>
      <c r="W64" s="1643">
        <f>$AG$44</f>
        <v/>
      </c>
      <c r="X64" s="1644">
        <f>(($AG$25-($AG$25*0.03))*$AG$24*((259/(259-$AG$24))*0.9982))/$L$55</f>
        <v/>
      </c>
      <c r="Y64" s="1644">
        <f>(($AG$33-($AG$33*0.03))*$AG$34*((259/(259-$AG$34))*0.9982))/$L$55</f>
        <v/>
      </c>
      <c r="Z64" s="1644">
        <f>(Q64*N64*((259/(259-N64))*0.9982))/$L$55</f>
        <v/>
      </c>
      <c r="AA64" s="1644">
        <f>Y64-Z64</f>
        <v/>
      </c>
      <c r="AB64" s="1641">
        <f>$AG$17</f>
        <v/>
      </c>
      <c r="AC64" s="1640">
        <f>$AG$9</f>
        <v/>
      </c>
      <c r="AD64" s="1645">
        <f>$AG$21</f>
        <v/>
      </c>
      <c r="AE64" s="1641">
        <f>$AG$18-($AG$18*0.03)</f>
        <v/>
      </c>
      <c r="AF64" s="1642">
        <f>AG24*AG25</f>
        <v/>
      </c>
      <c r="AG64" s="1642">
        <f>$E$3</f>
        <v/>
      </c>
      <c r="AH64" s="1642">
        <f>$N$3&amp;"-8"</f>
        <v/>
      </c>
      <c r="AI64" s="1646" t="n"/>
      <c r="AJ64" s="1340" t="n"/>
    </row>
    <row r="65" ht="18.75" customHeight="1" s="1339">
      <c r="A65" s="1625" t="n"/>
      <c r="B65" s="1625" t="n"/>
      <c r="C65" s="1625" t="n"/>
      <c r="D65" s="1625" t="n"/>
      <c r="E65" s="1625" t="n"/>
      <c r="F65" s="1625" t="n"/>
      <c r="G65" s="1625" t="n"/>
      <c r="H65" s="1625" t="n"/>
      <c r="I65" s="1625" t="n"/>
      <c r="J65" s="1625" t="n"/>
      <c r="K65" s="1625" t="n"/>
      <c r="L65" s="1625" t="n"/>
      <c r="M65" s="2212">
        <f>$AG$6</f>
        <v/>
      </c>
      <c r="N65" s="1640">
        <f>IFERROR(($AI$34/($AI$39+$AI$38)*$AI$39),"")</f>
        <v/>
      </c>
      <c r="O65" s="1641">
        <f>$N$8</f>
        <v/>
      </c>
      <c r="P65" s="1642">
        <f>IF(N65&lt;6," ",IF(N65&gt;(O65+0.5),0,IF(N65&lt;(O65-0.5),0,1)))</f>
        <v/>
      </c>
      <c r="Q65" s="1641">
        <f>IFERROR($AI$39+$AI$38,"")</f>
        <v/>
      </c>
      <c r="R65" s="1642">
        <f>$F$19</f>
        <v/>
      </c>
      <c r="S65" s="1642">
        <f>IF(Q65&lt;6," ",IF(Q65&gt;(R65+0.5),0,IF(Q65&lt;(R65-0.5),0,1)))</f>
        <v/>
      </c>
      <c r="T65" s="1640">
        <f>$AI$35</f>
        <v/>
      </c>
      <c r="U65" s="1640">
        <f>$N$13</f>
        <v/>
      </c>
      <c r="V65" s="1642">
        <f>IF(T65&lt;2," ",IF(T65&gt;(U65+0.5),0,IF(T65&lt;(U65-0.5),0,1)))</f>
        <v/>
      </c>
      <c r="W65" s="1643">
        <f>$AI$44</f>
        <v/>
      </c>
      <c r="X65" s="1644">
        <f>(($AI$25-($AI$25*0.03))*$AI$24*((259/(259-$AI$24))*0.9982))/$L$55</f>
        <v/>
      </c>
      <c r="Y65" s="1644">
        <f>(($AI$33-($AI$33*0.03))*$AI$34*((259/(259-$AI$34))*0.9982))/$L$55</f>
        <v/>
      </c>
      <c r="Z65" s="1644">
        <f>(Q65*N65*((259/(259-N65))*0.9982))/$L$55</f>
        <v/>
      </c>
      <c r="AA65" s="1644">
        <f>Y65-Z65</f>
        <v/>
      </c>
      <c r="AB65" s="1641">
        <f>$AI$17</f>
        <v/>
      </c>
      <c r="AC65" s="1640">
        <f>$AI$9</f>
        <v/>
      </c>
      <c r="AD65" s="1645">
        <f>$AI$21</f>
        <v/>
      </c>
      <c r="AE65" s="1641">
        <f>$AI$18-($AI$18*0.03)</f>
        <v/>
      </c>
      <c r="AF65" s="1642">
        <f>AI24*AI25</f>
        <v/>
      </c>
      <c r="AG65" s="1642">
        <f>$E$3</f>
        <v/>
      </c>
      <c r="AH65" s="1642">
        <f>$N$3&amp;"-9"</f>
        <v/>
      </c>
      <c r="AI65" s="1646" t="n"/>
    </row>
    <row r="66" ht="18.75" customHeight="1" s="1339">
      <c r="A66" s="1625" t="n"/>
      <c r="B66" s="1625" t="n"/>
      <c r="C66" s="1625" t="n"/>
      <c r="D66" s="1625" t="n"/>
      <c r="E66" s="1625" t="n"/>
      <c r="F66" s="1625" t="n"/>
      <c r="G66" s="1625" t="n"/>
      <c r="H66" s="1625" t="n"/>
      <c r="I66" s="1625" t="n"/>
      <c r="J66" s="1625" t="n"/>
      <c r="K66" s="1625" t="n"/>
      <c r="L66" s="1625" t="n"/>
      <c r="M66" s="1631" t="n"/>
      <c r="N66" s="1631" t="n"/>
      <c r="O66" s="1631" t="n"/>
      <c r="P66" s="1631" t="n"/>
      <c r="Q66" s="1631" t="n"/>
      <c r="R66" s="1631" t="n"/>
      <c r="S66" s="1631" t="n"/>
      <c r="T66" s="1631" t="n"/>
      <c r="U66" s="1631" t="n"/>
      <c r="V66" s="1631" t="n"/>
      <c r="W66" s="1631" t="n"/>
      <c r="X66" s="1631" t="n"/>
      <c r="Y66" s="1631" t="n"/>
      <c r="Z66" s="1631" t="n"/>
      <c r="AA66" s="1631" t="n"/>
      <c r="AB66" s="1631" t="n"/>
      <c r="AC66" s="1631" t="n"/>
      <c r="AD66" s="1631" t="n"/>
      <c r="AE66" s="1631" t="n"/>
      <c r="AF66" s="1631" t="n"/>
      <c r="AG66" s="1631" t="n"/>
      <c r="AH66" s="1631" t="n"/>
      <c r="AI66" s="1631" t="n"/>
    </row>
  </sheetData>
  <mergeCells count="278">
    <mergeCell ref="W4:X4"/>
    <mergeCell ref="AG4:AH4"/>
    <mergeCell ref="I32:K32"/>
    <mergeCell ref="Y4:Z4"/>
    <mergeCell ref="AI13:AJ13"/>
    <mergeCell ref="Y47:Z47"/>
    <mergeCell ref="N11:O11"/>
    <mergeCell ref="P27:R27"/>
    <mergeCell ref="P2:R2"/>
    <mergeCell ref="F16:G16"/>
    <mergeCell ref="K46:M46"/>
    <mergeCell ref="P36:R36"/>
    <mergeCell ref="A35:G35"/>
    <mergeCell ref="A11:E11"/>
    <mergeCell ref="AA13:AB13"/>
    <mergeCell ref="I38:L38"/>
    <mergeCell ref="E40:G40"/>
    <mergeCell ref="AC13:AD13"/>
    <mergeCell ref="P17:R17"/>
    <mergeCell ref="L28:M28"/>
    <mergeCell ref="AC47:AD47"/>
    <mergeCell ref="A52:J52"/>
    <mergeCell ref="AE47:AF47"/>
    <mergeCell ref="Q55:R55"/>
    <mergeCell ref="I24:K24"/>
    <mergeCell ref="I40:L40"/>
    <mergeCell ref="AE43:AF43"/>
    <mergeCell ref="N12:O12"/>
    <mergeCell ref="F15:G15"/>
    <mergeCell ref="P19:R19"/>
    <mergeCell ref="A41:B41"/>
    <mergeCell ref="N46:O46"/>
    <mergeCell ref="P28:R28"/>
    <mergeCell ref="P37:R37"/>
    <mergeCell ref="F9:H9"/>
    <mergeCell ref="P12:R12"/>
    <mergeCell ref="W3:X3"/>
    <mergeCell ref="N39:O39"/>
    <mergeCell ref="N48:O48"/>
    <mergeCell ref="A49:J49"/>
    <mergeCell ref="P30:R30"/>
    <mergeCell ref="L29:M29"/>
    <mergeCell ref="W43:X43"/>
    <mergeCell ref="N29:O29"/>
    <mergeCell ref="P5:R5"/>
    <mergeCell ref="K43:O43"/>
    <mergeCell ref="N38:O38"/>
    <mergeCell ref="P14:R14"/>
    <mergeCell ref="C27:D27"/>
    <mergeCell ref="A42:B42"/>
    <mergeCell ref="I34:K34"/>
    <mergeCell ref="F13:G13"/>
    <mergeCell ref="L31:M31"/>
    <mergeCell ref="P4:R4"/>
    <mergeCell ref="I8:M8"/>
    <mergeCell ref="N31:O31"/>
    <mergeCell ref="I17:M17"/>
    <mergeCell ref="N40:O40"/>
    <mergeCell ref="AG3:AH3"/>
    <mergeCell ref="S30:T30"/>
    <mergeCell ref="E42:G42"/>
    <mergeCell ref="AI3:AJ3"/>
    <mergeCell ref="I36:K36"/>
    <mergeCell ref="N24:O24"/>
    <mergeCell ref="I10:M10"/>
    <mergeCell ref="K45:M45"/>
    <mergeCell ref="C28:D28"/>
    <mergeCell ref="I19:M19"/>
    <mergeCell ref="AA47:AB47"/>
    <mergeCell ref="F12:H12"/>
    <mergeCell ref="S4:T4"/>
    <mergeCell ref="Q53:R53"/>
    <mergeCell ref="A39:B39"/>
    <mergeCell ref="U4:V4"/>
    <mergeCell ref="I9:M9"/>
    <mergeCell ref="N26:O26"/>
    <mergeCell ref="K47:M47"/>
    <mergeCell ref="N35:O35"/>
    <mergeCell ref="S47:T47"/>
    <mergeCell ref="I39:L39"/>
    <mergeCell ref="F10:G10"/>
    <mergeCell ref="I28:K28"/>
    <mergeCell ref="K44:M44"/>
    <mergeCell ref="S12:T12"/>
    <mergeCell ref="F19:G19"/>
    <mergeCell ref="U6:V6"/>
    <mergeCell ref="I37:K37"/>
    <mergeCell ref="N25:O25"/>
    <mergeCell ref="W6:X6"/>
    <mergeCell ref="N50:O50"/>
    <mergeCell ref="I11:M11"/>
    <mergeCell ref="S1:AJ2"/>
    <mergeCell ref="N51:O51"/>
    <mergeCell ref="T53:U53"/>
    <mergeCell ref="E3:J4"/>
    <mergeCell ref="AC12:AD12"/>
    <mergeCell ref="P16:R16"/>
    <mergeCell ref="A44:J44"/>
    <mergeCell ref="AE12:AF12"/>
    <mergeCell ref="AA30:AB30"/>
    <mergeCell ref="AC30:AD30"/>
    <mergeCell ref="A7:H7"/>
    <mergeCell ref="AA6:AB6"/>
    <mergeCell ref="F20:G20"/>
    <mergeCell ref="F18:G18"/>
    <mergeCell ref="S23:T23"/>
    <mergeCell ref="A37:B37"/>
    <mergeCell ref="P18:R18"/>
    <mergeCell ref="T55:U55"/>
    <mergeCell ref="AC23:AD23"/>
    <mergeCell ref="S13:T13"/>
    <mergeCell ref="AE23:AF23"/>
    <mergeCell ref="P3:R3"/>
    <mergeCell ref="AA4:AB4"/>
    <mergeCell ref="U13:V13"/>
    <mergeCell ref="AC4:AD4"/>
    <mergeCell ref="I12:M12"/>
    <mergeCell ref="F17:G17"/>
    <mergeCell ref="L30:M30"/>
    <mergeCell ref="A12:E12"/>
    <mergeCell ref="U47:V47"/>
    <mergeCell ref="E41:G41"/>
    <mergeCell ref="N44:O44"/>
    <mergeCell ref="U43:V43"/>
    <mergeCell ref="N28:O28"/>
    <mergeCell ref="I14:M14"/>
    <mergeCell ref="K49:M49"/>
    <mergeCell ref="A14:E14"/>
    <mergeCell ref="AG23:AH23"/>
    <mergeCell ref="I41:L41"/>
    <mergeCell ref="N13:O13"/>
    <mergeCell ref="A1:B6"/>
    <mergeCell ref="F11:H11"/>
    <mergeCell ref="P29:R29"/>
    <mergeCell ref="AI43:AJ43"/>
    <mergeCell ref="N30:O30"/>
    <mergeCell ref="I27:K27"/>
    <mergeCell ref="I21:O21"/>
    <mergeCell ref="P22:R22"/>
    <mergeCell ref="A50:J50"/>
    <mergeCell ref="P31:R31"/>
    <mergeCell ref="AG43:AH43"/>
    <mergeCell ref="P6:R6"/>
    <mergeCell ref="N55:O55"/>
    <mergeCell ref="I25:K25"/>
    <mergeCell ref="I42:L42"/>
    <mergeCell ref="P21:R21"/>
    <mergeCell ref="A47:J47"/>
    <mergeCell ref="I23:O23"/>
    <mergeCell ref="P8:R8"/>
    <mergeCell ref="Y3:Z3"/>
    <mergeCell ref="L32:M32"/>
    <mergeCell ref="I35:L35"/>
    <mergeCell ref="N32:O32"/>
    <mergeCell ref="A36:B36"/>
    <mergeCell ref="G5:H6"/>
    <mergeCell ref="N41:O41"/>
    <mergeCell ref="P23:R23"/>
    <mergeCell ref="I5:J6"/>
    <mergeCell ref="S3:T3"/>
    <mergeCell ref="U30:V30"/>
    <mergeCell ref="W30:X30"/>
    <mergeCell ref="AC3:AD3"/>
    <mergeCell ref="P7:R7"/>
    <mergeCell ref="F21:G21"/>
    <mergeCell ref="AE3:AF3"/>
    <mergeCell ref="C29:D29"/>
    <mergeCell ref="Y30:Z30"/>
    <mergeCell ref="AI30:AJ30"/>
    <mergeCell ref="E36:G36"/>
    <mergeCell ref="AG6:AH6"/>
    <mergeCell ref="M42:O42"/>
    <mergeCell ref="AI6:AJ6"/>
    <mergeCell ref="L24:M24"/>
    <mergeCell ref="L33:M33"/>
    <mergeCell ref="W47:X47"/>
    <mergeCell ref="N33:O33"/>
    <mergeCell ref="K48:M48"/>
    <mergeCell ref="I29:K29"/>
    <mergeCell ref="F8:G8"/>
    <mergeCell ref="AI4:AJ4"/>
    <mergeCell ref="L26:M26"/>
    <mergeCell ref="A51:J51"/>
    <mergeCell ref="U12:V12"/>
    <mergeCell ref="P33:R33"/>
    <mergeCell ref="W12:X12"/>
    <mergeCell ref="C43:J43"/>
    <mergeCell ref="E37:G37"/>
    <mergeCell ref="S6:T6"/>
    <mergeCell ref="I31:K31"/>
    <mergeCell ref="L25:M25"/>
    <mergeCell ref="AE13:AF13"/>
    <mergeCell ref="F22:G22"/>
    <mergeCell ref="AG13:AH13"/>
    <mergeCell ref="W13:X13"/>
    <mergeCell ref="P35:R35"/>
    <mergeCell ref="Y13:Z13"/>
    <mergeCell ref="AG47:AH47"/>
    <mergeCell ref="AI47:AJ47"/>
    <mergeCell ref="A38:B38"/>
    <mergeCell ref="I22:O22"/>
    <mergeCell ref="P25:R25"/>
    <mergeCell ref="N3:O4"/>
    <mergeCell ref="P9:R9"/>
    <mergeCell ref="I13:M13"/>
    <mergeCell ref="Y23:Z23"/>
    <mergeCell ref="F14:G14"/>
    <mergeCell ref="A13:E13"/>
    <mergeCell ref="AA23:AB23"/>
    <mergeCell ref="I26:K26"/>
    <mergeCell ref="A40:B40"/>
    <mergeCell ref="N45:O45"/>
    <mergeCell ref="N5:O6"/>
    <mergeCell ref="K51:M51"/>
    <mergeCell ref="P11:R11"/>
    <mergeCell ref="I15:M15"/>
    <mergeCell ref="C24:D24"/>
    <mergeCell ref="Y43:Z43"/>
    <mergeCell ref="AA43:AB43"/>
    <mergeCell ref="K50:M50"/>
    <mergeCell ref="S43:T43"/>
    <mergeCell ref="N47:O47"/>
    <mergeCell ref="N37:O37"/>
    <mergeCell ref="K3:M4"/>
    <mergeCell ref="C26:D26"/>
    <mergeCell ref="C1:O2"/>
    <mergeCell ref="K52:M52"/>
    <mergeCell ref="I33:K33"/>
    <mergeCell ref="AE4:AF4"/>
    <mergeCell ref="AI23:AJ23"/>
    <mergeCell ref="P32:R32"/>
    <mergeCell ref="C25:D25"/>
    <mergeCell ref="K5:M6"/>
    <mergeCell ref="P13:R13"/>
    <mergeCell ref="N52:O52"/>
    <mergeCell ref="A48:J48"/>
    <mergeCell ref="AC43:AD43"/>
    <mergeCell ref="C3:D4"/>
    <mergeCell ref="I18:M18"/>
    <mergeCell ref="A45:J45"/>
    <mergeCell ref="P15:R15"/>
    <mergeCell ref="U3:V3"/>
    <mergeCell ref="P24:R24"/>
    <mergeCell ref="C5:D6"/>
    <mergeCell ref="Y6:Z6"/>
    <mergeCell ref="I7:O7"/>
    <mergeCell ref="E5:F6"/>
    <mergeCell ref="A8:E8"/>
    <mergeCell ref="I16:O16"/>
    <mergeCell ref="A23:H23"/>
    <mergeCell ref="I30:K30"/>
    <mergeCell ref="P26:R26"/>
    <mergeCell ref="AG12:AH12"/>
    <mergeCell ref="AA3:AB3"/>
    <mergeCell ref="A46:J46"/>
    <mergeCell ref="L34:M34"/>
    <mergeCell ref="Y12:Z12"/>
    <mergeCell ref="P1:R1"/>
    <mergeCell ref="AI12:AJ12"/>
    <mergeCell ref="AA12:AB12"/>
    <mergeCell ref="AE30:AF30"/>
    <mergeCell ref="AC6:AD6"/>
    <mergeCell ref="P10:R10"/>
    <mergeCell ref="I20:M20"/>
    <mergeCell ref="AE6:AF6"/>
    <mergeCell ref="A10:E10"/>
    <mergeCell ref="AG30:AH30"/>
    <mergeCell ref="N34:O34"/>
    <mergeCell ref="U23:V23"/>
    <mergeCell ref="E39:G39"/>
    <mergeCell ref="W23:X23"/>
    <mergeCell ref="L27:M27"/>
    <mergeCell ref="N49:O49"/>
    <mergeCell ref="N27:O27"/>
    <mergeCell ref="P34:R34"/>
    <mergeCell ref="N36:O36"/>
    <mergeCell ref="A9:E9"/>
    <mergeCell ref="E38:G38"/>
  </mergeCells>
  <conditionalFormatting sqref="AI45:AJ46 AI47 AI48:AJ49">
    <cfRule type="expression" rank="0" priority="2" equalAverage="0" aboveAverage="0" dxfId="13" text="" percent="0" bottom="0">
      <formula>LEFT($A$1,2)="JK"</formula>
    </cfRule>
  </conditionalFormatting>
  <conditionalFormatting sqref="S50:AG50">
    <cfRule type="expression" rank="0" priority="3" equalAverage="0" aboveAverage="0" dxfId="14" text="" percent="0" bottom="0">
      <formula>LEFT(E7,2)="Jk"</formula>
    </cfRule>
  </conditionalFormatting>
  <conditionalFormatting sqref="H36:H39">
    <cfRule type="cellIs" rank="0" priority="4" equalAverage="0" operator="equal" aboveAverage="0" dxfId="15" text="" percent="0" bottom="0">
      <formula>"nee"</formula>
    </cfRule>
    <cfRule type="cellIs" rank="0" priority="5" equalAverage="0" operator="equal" aboveAverage="0" dxfId="16" text="" percent="0" bottom="0">
      <formula>"ja"</formula>
    </cfRule>
  </conditionalFormatting>
  <conditionalFormatting sqref="P2">
    <cfRule type="containsText" rank="0" priority="6" equalAverage="0" operator="containsText" aboveAverage="0" dxfId="10" text="Te verbeteren" percent="0" bottom="0">
      <formula>NOT(ISERROR(SEARCH("Te verbeteren",P2)))</formula>
    </cfRule>
    <cfRule type="containsText" rank="0" priority="7" equalAverage="0" operator="containsText" aboveAverage="0" dxfId="11" text="Standaard" percent="0" bottom="0">
      <formula>NOT(ISERROR(SEARCH("Standaard",P2)))</formula>
    </cfRule>
    <cfRule type="containsText" rank="0" priority="8" equalAverage="0" operator="containsText" aboveAverage="0" dxfId="12" text="NPI" percent="0" bottom="0">
      <formula>NOT(ISERROR(SEARCH("NPI",P2)))</formula>
    </cfRule>
    <cfRule type="containsText" rank="0" priority="9" equalAverage="0" operator="containsText" aboveAverage="0" dxfId="12" text="Gevaarlijk" percent="0" bottom="0">
      <formula>NOT(ISERROR(SEARCH("Gevaarlijk",P2)))</formula>
    </cfRule>
    <cfRule type="containsText" rank="0" priority="10" equalAverage="0" operator="containsText" aboveAverage="0" dxfId="11" text="Standaard" percent="0" bottom="0">
      <formula>NOT(ISERROR(SEARCH("Standaard",P2)))</formula>
    </cfRule>
    <cfRule type="containsText" rank="0" priority="11" equalAverage="0" operator="containsText" aboveAverage="0" dxfId="10" text="Gevoelig" percent="0" bottom="0">
      <formula>NOT(ISERROR(SEARCH("Gevoelig",P2)))</formula>
    </cfRule>
  </conditionalFormatting>
  <conditionalFormatting sqref="S45:AH46 S47 S48:AH49 U47 W47 Y47 AA47 AC47 AE47 AG47">
    <cfRule type="expression" rank="0" priority="12" equalAverage="0" aboveAverage="0" dxfId="13" text="" percent="0" bottom="0">
      <formula>LEFT($A$1,2)="JK"</formula>
    </cfRule>
  </conditionalFormatting>
  <conditionalFormatting sqref="AH50">
    <cfRule type="expression" rank="0" priority="13" equalAverage="0" aboveAverage="0" dxfId="14" text="" percent="0" bottom="0">
      <formula>LEFT(T6,2)="Jk"</formula>
    </cfRule>
  </conditionalFormatting>
  <dataValidations count="1">
    <dataValidation sqref="S47:T47" showDropDown="0" showInputMessage="1" showErrorMessage="1" allowBlank="1" type="list" errorStyle="stop" operator="between">
      <formula1>"lo-de,lo-zu-de,lo-de-hw,lo-zu-de-hw"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rowBreaks count="1" manualBreakCount="1">
    <brk id="2" min="0" max="16383" man="1"/>
  </rowBreak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D8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U22" activeCellId="0" sqref="U22"/>
    </sheetView>
  </sheetViews>
  <sheetFormatPr baseColWidth="8" defaultColWidth="8.00390625" defaultRowHeight="12.75" zeroHeight="1" outlineLevelRow="0"/>
  <cols>
    <col width="11" customWidth="1" style="1647" min="1" max="1"/>
    <col width="9.119999999999999" customWidth="1" style="1647" min="2" max="2"/>
    <col width="9.619999999999999" customWidth="1" style="1647" min="3" max="3"/>
    <col width="9.119999999999999" customWidth="1" style="1647" min="4" max="4"/>
    <col width="10.12" customWidth="1" style="1647" min="5" max="5"/>
    <col hidden="1" width="9.119999999999999" customWidth="1" style="1647" min="6" max="7"/>
    <col width="11.12" customWidth="1" style="1647" min="8" max="8"/>
    <col width="9.119999999999999" customWidth="1" style="1647" min="9" max="9"/>
    <col width="10.12" customWidth="1" style="1647" min="10" max="10"/>
    <col width="5.62" customWidth="1" style="1647" min="11" max="11"/>
    <col width="7.5" customWidth="1" style="1647" min="12" max="12"/>
    <col width="5.62" customWidth="1" style="1647" min="13" max="13"/>
    <col width="5.5" customWidth="1" style="1647" min="14" max="14"/>
    <col width="5.62" customWidth="1" style="1647" min="15" max="15"/>
    <col width="9.119999999999999" customWidth="1" style="1647" min="16" max="16"/>
    <col width="7.5" customWidth="1" style="1647" min="17" max="17"/>
    <col width="5.62" customWidth="1" style="1647" min="18" max="18"/>
    <col width="5.5" customWidth="1" style="1647" min="19" max="19"/>
    <col width="5.62" customWidth="1" style="1647" min="20" max="20"/>
    <col width="3.5" customWidth="1" style="1647" min="21" max="21"/>
    <col width="8" customWidth="1" style="1647" min="22" max="31"/>
    <col hidden="1" width="8" customWidth="1" style="1647" min="32" max="251"/>
    <col hidden="1" width="9.119999999999999" customWidth="1" style="1647" min="252" max="256"/>
    <col hidden="1" width="10.49" customWidth="1" style="1647" min="257" max="258"/>
    <col hidden="1" width="9.119999999999999" customWidth="1" style="1647" min="259" max="262"/>
    <col hidden="1" width="10.49" customWidth="1" style="1647" min="263" max="263"/>
    <col hidden="1" width="24.62" customWidth="1" style="1647" min="264" max="264"/>
    <col hidden="1" width="8" customWidth="1" style="1647" min="265" max="265"/>
    <col hidden="1" width="3.12" customWidth="1" style="1647" min="266" max="266"/>
    <col hidden="1" width="11.12" customWidth="1" style="1647" min="267" max="267"/>
    <col hidden="1" width="10.12" customWidth="1" style="1647" min="268" max="268"/>
    <col hidden="1" width="8.619999999999999" customWidth="1" style="1647" min="269" max="269"/>
    <col hidden="1" width="10.12" customWidth="1" style="1647" min="270" max="270"/>
    <col hidden="1" width="8" customWidth="1" style="1647" min="271" max="507"/>
    <col hidden="1" width="9.119999999999999" customWidth="1" style="1647" min="508" max="512"/>
    <col hidden="1" width="10.49" customWidth="1" style="1647" min="513" max="514"/>
    <col hidden="1" width="9.119999999999999" customWidth="1" style="1647" min="515" max="518"/>
    <col hidden="1" width="10.49" customWidth="1" style="1647" min="519" max="519"/>
    <col hidden="1" width="24.62" customWidth="1" style="1647" min="520" max="520"/>
    <col hidden="1" width="8" customWidth="1" style="1647" min="521" max="521"/>
    <col hidden="1" width="3.12" customWidth="1" style="1647" min="522" max="522"/>
    <col hidden="1" width="11.12" customWidth="1" style="1647" min="523" max="523"/>
    <col hidden="1" width="10.12" customWidth="1" style="1647" min="524" max="524"/>
    <col hidden="1" width="8.619999999999999" customWidth="1" style="1647" min="525" max="525"/>
    <col hidden="1" width="10.12" customWidth="1" style="1647" min="526" max="526"/>
    <col hidden="1" width="8" customWidth="1" style="1647" min="527" max="763"/>
    <col hidden="1" width="9.119999999999999" customWidth="1" style="1647" min="764" max="768"/>
    <col hidden="1" width="10.49" customWidth="1" style="1647" min="769" max="770"/>
    <col hidden="1" width="9.119999999999999" customWidth="1" style="1647" min="771" max="774"/>
    <col hidden="1" width="10.49" customWidth="1" style="1647" min="775" max="775"/>
    <col hidden="1" width="24.62" customWidth="1" style="1647" min="776" max="776"/>
    <col hidden="1" width="8" customWidth="1" style="1647" min="777" max="777"/>
    <col hidden="1" width="3.12" customWidth="1" style="1647" min="778" max="778"/>
    <col hidden="1" width="11.12" customWidth="1" style="1647" min="779" max="779"/>
    <col hidden="1" width="10.12" customWidth="1" style="1647" min="780" max="780"/>
    <col hidden="1" width="8.619999999999999" customWidth="1" style="1647" min="781" max="781"/>
    <col hidden="1" width="10.12" customWidth="1" style="1647" min="782" max="782"/>
    <col hidden="1" width="8" customWidth="1" style="1647" min="783" max="1019"/>
    <col hidden="1" width="9.119999999999999" customWidth="1" style="1647" min="1020" max="1024"/>
    <col hidden="1" width="10.49" customWidth="1" style="1647" min="1025" max="1026"/>
    <col hidden="1" width="9.119999999999999" customWidth="1" style="1647" min="1027" max="1030"/>
    <col hidden="1" width="10.49" customWidth="1" style="1647" min="1031" max="1031"/>
    <col hidden="1" width="24.62" customWidth="1" style="1647" min="1032" max="1032"/>
    <col hidden="1" width="8" customWidth="1" style="1647" min="1033" max="1033"/>
    <col hidden="1" width="3.12" customWidth="1" style="1647" min="1034" max="1034"/>
    <col hidden="1" width="11.12" customWidth="1" style="1647" min="1035" max="1035"/>
    <col hidden="1" width="10.12" customWidth="1" style="1647" min="1036" max="1036"/>
    <col hidden="1" width="8.619999999999999" customWidth="1" style="1647" min="1037" max="1037"/>
    <col hidden="1" width="10.12" customWidth="1" style="1647" min="1038" max="1038"/>
    <col hidden="1" width="8" customWidth="1" style="1647" min="1039" max="1275"/>
    <col hidden="1" width="9.119999999999999" customWidth="1" style="1647" min="1276" max="1280"/>
    <col hidden="1" width="10.49" customWidth="1" style="1647" min="1281" max="1282"/>
    <col hidden="1" width="9.119999999999999" customWidth="1" style="1647" min="1283" max="1286"/>
    <col hidden="1" width="10.49" customWidth="1" style="1647" min="1287" max="1287"/>
    <col hidden="1" width="24.62" customWidth="1" style="1647" min="1288" max="1288"/>
    <col hidden="1" width="8" customWidth="1" style="1647" min="1289" max="1289"/>
    <col hidden="1" width="3.12" customWidth="1" style="1647" min="1290" max="1290"/>
    <col hidden="1" width="11.12" customWidth="1" style="1647" min="1291" max="1291"/>
    <col hidden="1" width="10.12" customWidth="1" style="1647" min="1292" max="1292"/>
    <col hidden="1" width="8.619999999999999" customWidth="1" style="1647" min="1293" max="1293"/>
    <col hidden="1" width="10.12" customWidth="1" style="1647" min="1294" max="1294"/>
    <col hidden="1" width="8" customWidth="1" style="1647" min="1295" max="1531"/>
    <col hidden="1" width="9.119999999999999" customWidth="1" style="1647" min="1532" max="1536"/>
    <col hidden="1" width="10.49" customWidth="1" style="1647" min="1537" max="1538"/>
    <col hidden="1" width="9.119999999999999" customWidth="1" style="1647" min="1539" max="1542"/>
    <col hidden="1" width="10.49" customWidth="1" style="1647" min="1543" max="1543"/>
    <col hidden="1" width="24.62" customWidth="1" style="1647" min="1544" max="1544"/>
    <col hidden="1" width="8" customWidth="1" style="1647" min="1545" max="1545"/>
    <col hidden="1" width="3.12" customWidth="1" style="1647" min="1546" max="1546"/>
    <col hidden="1" width="11.12" customWidth="1" style="1647" min="1547" max="1547"/>
    <col hidden="1" width="10.12" customWidth="1" style="1647" min="1548" max="1548"/>
    <col hidden="1" width="8.619999999999999" customWidth="1" style="1647" min="1549" max="1549"/>
    <col hidden="1" width="10.12" customWidth="1" style="1647" min="1550" max="1550"/>
    <col hidden="1" width="8" customWidth="1" style="1647" min="1551" max="1787"/>
    <col hidden="1" width="9.119999999999999" customWidth="1" style="1647" min="1788" max="1792"/>
    <col hidden="1" width="10.49" customWidth="1" style="1647" min="1793" max="1794"/>
    <col hidden="1" width="9.119999999999999" customWidth="1" style="1647" min="1795" max="1798"/>
    <col hidden="1" width="10.49" customWidth="1" style="1647" min="1799" max="1799"/>
    <col hidden="1" width="24.62" customWidth="1" style="1647" min="1800" max="1800"/>
    <col hidden="1" width="8" customWidth="1" style="1647" min="1801" max="1801"/>
    <col hidden="1" width="3.12" customWidth="1" style="1647" min="1802" max="1802"/>
    <col hidden="1" width="11.12" customWidth="1" style="1647" min="1803" max="1803"/>
    <col hidden="1" width="10.12" customWidth="1" style="1647" min="1804" max="1804"/>
    <col hidden="1" width="8.619999999999999" customWidth="1" style="1647" min="1805" max="1805"/>
    <col hidden="1" width="10.12" customWidth="1" style="1647" min="1806" max="1806"/>
    <col hidden="1" width="8" customWidth="1" style="1647" min="1807" max="2043"/>
    <col hidden="1" width="9.119999999999999" customWidth="1" style="1647" min="2044" max="2048"/>
    <col hidden="1" width="10.49" customWidth="1" style="1647" min="2049" max="2050"/>
    <col hidden="1" width="9.119999999999999" customWidth="1" style="1647" min="2051" max="2054"/>
    <col hidden="1" width="10.49" customWidth="1" style="1647" min="2055" max="2055"/>
    <col hidden="1" width="24.62" customWidth="1" style="1647" min="2056" max="2056"/>
    <col hidden="1" width="8" customWidth="1" style="1647" min="2057" max="2057"/>
    <col hidden="1" width="3.12" customWidth="1" style="1647" min="2058" max="2058"/>
    <col hidden="1" width="11.12" customWidth="1" style="1647" min="2059" max="2059"/>
    <col hidden="1" width="10.12" customWidth="1" style="1647" min="2060" max="2060"/>
    <col hidden="1" width="8.619999999999999" customWidth="1" style="1647" min="2061" max="2061"/>
    <col hidden="1" width="10.12" customWidth="1" style="1647" min="2062" max="2062"/>
    <col hidden="1" width="8" customWidth="1" style="1647" min="2063" max="2299"/>
    <col hidden="1" width="9.119999999999999" customWidth="1" style="1647" min="2300" max="2304"/>
    <col hidden="1" width="10.49" customWidth="1" style="1647" min="2305" max="2306"/>
    <col hidden="1" width="9.119999999999999" customWidth="1" style="1647" min="2307" max="2310"/>
    <col hidden="1" width="10.49" customWidth="1" style="1647" min="2311" max="2311"/>
    <col hidden="1" width="24.62" customWidth="1" style="1647" min="2312" max="2312"/>
    <col hidden="1" width="8" customWidth="1" style="1647" min="2313" max="2313"/>
    <col hidden="1" width="3.12" customWidth="1" style="1647" min="2314" max="2314"/>
    <col hidden="1" width="11.12" customWidth="1" style="1647" min="2315" max="2315"/>
    <col hidden="1" width="10.12" customWidth="1" style="1647" min="2316" max="2316"/>
    <col hidden="1" width="8.619999999999999" customWidth="1" style="1647" min="2317" max="2317"/>
    <col hidden="1" width="10.12" customWidth="1" style="1647" min="2318" max="2318"/>
    <col hidden="1" width="8" customWidth="1" style="1647" min="2319" max="2555"/>
    <col hidden="1" width="9.119999999999999" customWidth="1" style="1647" min="2556" max="2560"/>
    <col hidden="1" width="10.49" customWidth="1" style="1647" min="2561" max="2562"/>
    <col hidden="1" width="9.119999999999999" customWidth="1" style="1647" min="2563" max="2566"/>
    <col hidden="1" width="10.49" customWidth="1" style="1647" min="2567" max="2567"/>
    <col hidden="1" width="24.62" customWidth="1" style="1647" min="2568" max="2568"/>
    <col hidden="1" width="8" customWidth="1" style="1647" min="2569" max="2569"/>
    <col hidden="1" width="3.12" customWidth="1" style="1647" min="2570" max="2570"/>
    <col hidden="1" width="11.12" customWidth="1" style="1647" min="2571" max="2571"/>
    <col hidden="1" width="10.12" customWidth="1" style="1647" min="2572" max="2572"/>
    <col hidden="1" width="8.619999999999999" customWidth="1" style="1647" min="2573" max="2573"/>
    <col hidden="1" width="10.12" customWidth="1" style="1647" min="2574" max="2574"/>
    <col hidden="1" width="8" customWidth="1" style="1647" min="2575" max="2811"/>
    <col hidden="1" width="9.119999999999999" customWidth="1" style="1647" min="2812" max="2816"/>
    <col hidden="1" width="10.49" customWidth="1" style="1647" min="2817" max="2818"/>
    <col hidden="1" width="9.119999999999999" customWidth="1" style="1647" min="2819" max="2822"/>
    <col hidden="1" width="10.49" customWidth="1" style="1647" min="2823" max="2823"/>
    <col hidden="1" width="24.62" customWidth="1" style="1647" min="2824" max="2824"/>
    <col hidden="1" width="8" customWidth="1" style="1647" min="2825" max="2825"/>
    <col hidden="1" width="3.12" customWidth="1" style="1647" min="2826" max="2826"/>
    <col hidden="1" width="11.12" customWidth="1" style="1647" min="2827" max="2827"/>
    <col hidden="1" width="10.12" customWidth="1" style="1647" min="2828" max="2828"/>
    <col hidden="1" width="8.619999999999999" customWidth="1" style="1647" min="2829" max="2829"/>
    <col hidden="1" width="10.12" customWidth="1" style="1647" min="2830" max="2830"/>
    <col hidden="1" width="8" customWidth="1" style="1647" min="2831" max="3067"/>
    <col hidden="1" width="9.119999999999999" customWidth="1" style="1647" min="3068" max="3072"/>
    <col hidden="1" width="10.49" customWidth="1" style="1647" min="3073" max="3074"/>
    <col hidden="1" width="9.119999999999999" customWidth="1" style="1647" min="3075" max="3078"/>
    <col hidden="1" width="10.49" customWidth="1" style="1647" min="3079" max="3079"/>
    <col hidden="1" width="24.62" customWidth="1" style="1647" min="3080" max="3080"/>
    <col hidden="1" width="8" customWidth="1" style="1647" min="3081" max="3081"/>
    <col hidden="1" width="3.12" customWidth="1" style="1647" min="3082" max="3082"/>
    <col hidden="1" width="11.12" customWidth="1" style="1647" min="3083" max="3083"/>
    <col hidden="1" width="10.12" customWidth="1" style="1647" min="3084" max="3084"/>
    <col hidden="1" width="8.619999999999999" customWidth="1" style="1647" min="3085" max="3085"/>
    <col hidden="1" width="10.12" customWidth="1" style="1647" min="3086" max="3086"/>
    <col hidden="1" width="8" customWidth="1" style="1647" min="3087" max="3323"/>
    <col hidden="1" width="9.119999999999999" customWidth="1" style="1647" min="3324" max="3328"/>
    <col hidden="1" width="10.49" customWidth="1" style="1647" min="3329" max="3330"/>
    <col hidden="1" width="9.119999999999999" customWidth="1" style="1647" min="3331" max="3334"/>
    <col hidden="1" width="10.49" customWidth="1" style="1647" min="3335" max="3335"/>
    <col hidden="1" width="24.62" customWidth="1" style="1647" min="3336" max="3336"/>
    <col hidden="1" width="8" customWidth="1" style="1647" min="3337" max="3337"/>
    <col hidden="1" width="3.12" customWidth="1" style="1647" min="3338" max="3338"/>
    <col hidden="1" width="11.12" customWidth="1" style="1647" min="3339" max="3339"/>
    <col hidden="1" width="10.12" customWidth="1" style="1647" min="3340" max="3340"/>
    <col hidden="1" width="8.619999999999999" customWidth="1" style="1647" min="3341" max="3341"/>
    <col hidden="1" width="10.12" customWidth="1" style="1647" min="3342" max="3342"/>
    <col hidden="1" width="8" customWidth="1" style="1647" min="3343" max="3579"/>
    <col hidden="1" width="9.119999999999999" customWidth="1" style="1647" min="3580" max="3584"/>
    <col hidden="1" width="10.49" customWidth="1" style="1647" min="3585" max="3586"/>
    <col hidden="1" width="9.119999999999999" customWidth="1" style="1647" min="3587" max="3590"/>
    <col hidden="1" width="10.49" customWidth="1" style="1647" min="3591" max="3591"/>
    <col hidden="1" width="24.62" customWidth="1" style="1647" min="3592" max="3592"/>
    <col hidden="1" width="8" customWidth="1" style="1647" min="3593" max="3593"/>
    <col hidden="1" width="3.12" customWidth="1" style="1647" min="3594" max="3594"/>
    <col hidden="1" width="11.12" customWidth="1" style="1647" min="3595" max="3595"/>
    <col hidden="1" width="10.12" customWidth="1" style="1647" min="3596" max="3596"/>
    <col hidden="1" width="8.619999999999999" customWidth="1" style="1647" min="3597" max="3597"/>
    <col hidden="1" width="10.12" customWidth="1" style="1647" min="3598" max="3598"/>
    <col hidden="1" width="8" customWidth="1" style="1647" min="3599" max="3835"/>
    <col hidden="1" width="9.119999999999999" customWidth="1" style="1647" min="3836" max="3840"/>
    <col hidden="1" width="10.49" customWidth="1" style="1647" min="3841" max="3842"/>
    <col hidden="1" width="9.119999999999999" customWidth="1" style="1647" min="3843" max="3846"/>
    <col hidden="1" width="10.49" customWidth="1" style="1647" min="3847" max="3847"/>
    <col hidden="1" width="24.62" customWidth="1" style="1647" min="3848" max="3848"/>
    <col hidden="1" width="8" customWidth="1" style="1647" min="3849" max="3849"/>
    <col hidden="1" width="3.12" customWidth="1" style="1647" min="3850" max="3850"/>
    <col hidden="1" width="11.12" customWidth="1" style="1647" min="3851" max="3851"/>
    <col hidden="1" width="10.12" customWidth="1" style="1647" min="3852" max="3852"/>
    <col hidden="1" width="8.619999999999999" customWidth="1" style="1647" min="3853" max="3853"/>
    <col hidden="1" width="10.12" customWidth="1" style="1647" min="3854" max="3854"/>
    <col hidden="1" width="8" customWidth="1" style="1647" min="3855" max="4091"/>
    <col hidden="1" width="9.119999999999999" customWidth="1" style="1647" min="4092" max="4096"/>
    <col hidden="1" width="10.49" customWidth="1" style="1647" min="4097" max="4098"/>
    <col hidden="1" width="9.119999999999999" customWidth="1" style="1647" min="4099" max="4102"/>
    <col hidden="1" width="10.49" customWidth="1" style="1647" min="4103" max="4103"/>
    <col hidden="1" width="24.62" customWidth="1" style="1647" min="4104" max="4104"/>
    <col hidden="1" width="8" customWidth="1" style="1647" min="4105" max="4105"/>
    <col hidden="1" width="3.12" customWidth="1" style="1647" min="4106" max="4106"/>
    <col hidden="1" width="11.12" customWidth="1" style="1647" min="4107" max="4107"/>
    <col hidden="1" width="10.12" customWidth="1" style="1647" min="4108" max="4108"/>
    <col hidden="1" width="8.619999999999999" customWidth="1" style="1647" min="4109" max="4109"/>
    <col hidden="1" width="10.12" customWidth="1" style="1647" min="4110" max="4110"/>
    <col hidden="1" width="8" customWidth="1" style="1647" min="4111" max="4347"/>
    <col hidden="1" width="9.119999999999999" customWidth="1" style="1647" min="4348" max="4352"/>
    <col hidden="1" width="10.49" customWidth="1" style="1647" min="4353" max="4354"/>
    <col hidden="1" width="9.119999999999999" customWidth="1" style="1647" min="4355" max="4358"/>
    <col hidden="1" width="10.49" customWidth="1" style="1647" min="4359" max="4359"/>
    <col hidden="1" width="24.62" customWidth="1" style="1647" min="4360" max="4360"/>
    <col hidden="1" width="8" customWidth="1" style="1647" min="4361" max="4361"/>
    <col hidden="1" width="3.12" customWidth="1" style="1647" min="4362" max="4362"/>
    <col hidden="1" width="11.12" customWidth="1" style="1647" min="4363" max="4363"/>
    <col hidden="1" width="10.12" customWidth="1" style="1647" min="4364" max="4364"/>
    <col hidden="1" width="8.619999999999999" customWidth="1" style="1647" min="4365" max="4365"/>
    <col hidden="1" width="10.12" customWidth="1" style="1647" min="4366" max="4366"/>
    <col hidden="1" width="8" customWidth="1" style="1647" min="4367" max="4603"/>
    <col hidden="1" width="9.119999999999999" customWidth="1" style="1647" min="4604" max="4608"/>
    <col hidden="1" width="10.49" customWidth="1" style="1647" min="4609" max="4610"/>
    <col hidden="1" width="9.119999999999999" customWidth="1" style="1647" min="4611" max="4614"/>
    <col hidden="1" width="10.49" customWidth="1" style="1647" min="4615" max="4615"/>
    <col hidden="1" width="24.62" customWidth="1" style="1647" min="4616" max="4616"/>
    <col hidden="1" width="8" customWidth="1" style="1647" min="4617" max="4617"/>
    <col hidden="1" width="3.12" customWidth="1" style="1647" min="4618" max="4618"/>
    <col hidden="1" width="11.12" customWidth="1" style="1647" min="4619" max="4619"/>
    <col hidden="1" width="10.12" customWidth="1" style="1647" min="4620" max="4620"/>
    <col hidden="1" width="8.619999999999999" customWidth="1" style="1647" min="4621" max="4621"/>
    <col hidden="1" width="10.12" customWidth="1" style="1647" min="4622" max="4622"/>
    <col hidden="1" width="8" customWidth="1" style="1647" min="4623" max="4859"/>
    <col hidden="1" width="9.119999999999999" customWidth="1" style="1647" min="4860" max="4864"/>
    <col hidden="1" width="10.49" customWidth="1" style="1647" min="4865" max="4866"/>
    <col hidden="1" width="9.119999999999999" customWidth="1" style="1647" min="4867" max="4870"/>
    <col hidden="1" width="10.49" customWidth="1" style="1647" min="4871" max="4871"/>
    <col hidden="1" width="24.62" customWidth="1" style="1647" min="4872" max="4872"/>
    <col hidden="1" width="8" customWidth="1" style="1647" min="4873" max="4873"/>
    <col hidden="1" width="3.12" customWidth="1" style="1647" min="4874" max="4874"/>
    <col hidden="1" width="11.12" customWidth="1" style="1647" min="4875" max="4875"/>
    <col hidden="1" width="10.12" customWidth="1" style="1647" min="4876" max="4876"/>
    <col hidden="1" width="8.619999999999999" customWidth="1" style="1647" min="4877" max="4877"/>
    <col hidden="1" width="10.12" customWidth="1" style="1647" min="4878" max="4878"/>
    <col hidden="1" width="8" customWidth="1" style="1647" min="4879" max="5115"/>
    <col hidden="1" width="9.119999999999999" customWidth="1" style="1647" min="5116" max="5120"/>
    <col hidden="1" width="10.49" customWidth="1" style="1647" min="5121" max="5122"/>
    <col hidden="1" width="9.119999999999999" customWidth="1" style="1647" min="5123" max="5126"/>
    <col hidden="1" width="10.49" customWidth="1" style="1647" min="5127" max="5127"/>
    <col hidden="1" width="24.62" customWidth="1" style="1647" min="5128" max="5128"/>
    <col hidden="1" width="8" customWidth="1" style="1647" min="5129" max="5129"/>
    <col hidden="1" width="3.12" customWidth="1" style="1647" min="5130" max="5130"/>
    <col hidden="1" width="11.12" customWidth="1" style="1647" min="5131" max="5131"/>
    <col hidden="1" width="10.12" customWidth="1" style="1647" min="5132" max="5132"/>
    <col hidden="1" width="8.619999999999999" customWidth="1" style="1647" min="5133" max="5133"/>
    <col hidden="1" width="10.12" customWidth="1" style="1647" min="5134" max="5134"/>
    <col hidden="1" width="8" customWidth="1" style="1647" min="5135" max="5371"/>
    <col hidden="1" width="9.119999999999999" customWidth="1" style="1647" min="5372" max="5376"/>
    <col hidden="1" width="10.49" customWidth="1" style="1647" min="5377" max="5378"/>
    <col hidden="1" width="9.119999999999999" customWidth="1" style="1647" min="5379" max="5382"/>
    <col hidden="1" width="10.49" customWidth="1" style="1647" min="5383" max="5383"/>
    <col hidden="1" width="24.62" customWidth="1" style="1647" min="5384" max="5384"/>
    <col hidden="1" width="8" customWidth="1" style="1647" min="5385" max="5385"/>
    <col hidden="1" width="3.12" customWidth="1" style="1647" min="5386" max="5386"/>
    <col hidden="1" width="11.12" customWidth="1" style="1647" min="5387" max="5387"/>
    <col hidden="1" width="10.12" customWidth="1" style="1647" min="5388" max="5388"/>
    <col hidden="1" width="8.619999999999999" customWidth="1" style="1647" min="5389" max="5389"/>
    <col hidden="1" width="10.12" customWidth="1" style="1647" min="5390" max="5390"/>
    <col hidden="1" width="8" customWidth="1" style="1647" min="5391" max="5627"/>
    <col hidden="1" width="9.119999999999999" customWidth="1" style="1647" min="5628" max="5632"/>
    <col hidden="1" width="10.49" customWidth="1" style="1647" min="5633" max="5634"/>
    <col hidden="1" width="9.119999999999999" customWidth="1" style="1647" min="5635" max="5638"/>
    <col hidden="1" width="10.49" customWidth="1" style="1647" min="5639" max="5639"/>
    <col hidden="1" width="24.62" customWidth="1" style="1647" min="5640" max="5640"/>
    <col hidden="1" width="8" customWidth="1" style="1647" min="5641" max="5641"/>
    <col hidden="1" width="3.12" customWidth="1" style="1647" min="5642" max="5642"/>
    <col hidden="1" width="11.12" customWidth="1" style="1647" min="5643" max="5643"/>
    <col hidden="1" width="10.12" customWidth="1" style="1647" min="5644" max="5644"/>
    <col hidden="1" width="8.619999999999999" customWidth="1" style="1647" min="5645" max="5645"/>
    <col hidden="1" width="10.12" customWidth="1" style="1647" min="5646" max="5646"/>
    <col hidden="1" width="8" customWidth="1" style="1647" min="5647" max="5883"/>
    <col hidden="1" width="9.119999999999999" customWidth="1" style="1647" min="5884" max="5888"/>
    <col hidden="1" width="10.49" customWidth="1" style="1647" min="5889" max="5890"/>
    <col hidden="1" width="9.119999999999999" customWidth="1" style="1647" min="5891" max="5894"/>
    <col hidden="1" width="10.49" customWidth="1" style="1647" min="5895" max="5895"/>
    <col hidden="1" width="24.62" customWidth="1" style="1647" min="5896" max="5896"/>
    <col hidden="1" width="8" customWidth="1" style="1647" min="5897" max="5897"/>
    <col hidden="1" width="3.12" customWidth="1" style="1647" min="5898" max="5898"/>
    <col hidden="1" width="11.12" customWidth="1" style="1647" min="5899" max="5899"/>
    <col hidden="1" width="10.12" customWidth="1" style="1647" min="5900" max="5900"/>
    <col hidden="1" width="8.619999999999999" customWidth="1" style="1647" min="5901" max="5901"/>
    <col hidden="1" width="10.12" customWidth="1" style="1647" min="5902" max="5902"/>
    <col hidden="1" width="8" customWidth="1" style="1647" min="5903" max="6139"/>
    <col hidden="1" width="9.119999999999999" customWidth="1" style="1647" min="6140" max="6144"/>
    <col hidden="1" width="10.49" customWidth="1" style="1647" min="6145" max="6146"/>
    <col hidden="1" width="9.119999999999999" customWidth="1" style="1647" min="6147" max="6150"/>
    <col hidden="1" width="10.49" customWidth="1" style="1647" min="6151" max="6151"/>
    <col hidden="1" width="24.62" customWidth="1" style="1647" min="6152" max="6152"/>
    <col hidden="1" width="8" customWidth="1" style="1647" min="6153" max="6153"/>
    <col hidden="1" width="3.12" customWidth="1" style="1647" min="6154" max="6154"/>
    <col hidden="1" width="11.12" customWidth="1" style="1647" min="6155" max="6155"/>
    <col hidden="1" width="10.12" customWidth="1" style="1647" min="6156" max="6156"/>
    <col hidden="1" width="8.619999999999999" customWidth="1" style="1647" min="6157" max="6157"/>
    <col hidden="1" width="10.12" customWidth="1" style="1647" min="6158" max="6158"/>
    <col hidden="1" width="8" customWidth="1" style="1647" min="6159" max="6395"/>
    <col hidden="1" width="9.119999999999999" customWidth="1" style="1647" min="6396" max="6400"/>
    <col hidden="1" width="10.49" customWidth="1" style="1647" min="6401" max="6402"/>
    <col hidden="1" width="9.119999999999999" customWidth="1" style="1647" min="6403" max="6406"/>
    <col hidden="1" width="10.49" customWidth="1" style="1647" min="6407" max="6407"/>
    <col hidden="1" width="24.62" customWidth="1" style="1647" min="6408" max="6408"/>
    <col hidden="1" width="8" customWidth="1" style="1647" min="6409" max="6409"/>
    <col hidden="1" width="3.12" customWidth="1" style="1647" min="6410" max="6410"/>
    <col hidden="1" width="11.12" customWidth="1" style="1647" min="6411" max="6411"/>
    <col hidden="1" width="10.12" customWidth="1" style="1647" min="6412" max="6412"/>
    <col hidden="1" width="8.619999999999999" customWidth="1" style="1647" min="6413" max="6413"/>
    <col hidden="1" width="10.12" customWidth="1" style="1647" min="6414" max="6414"/>
    <col hidden="1" width="8" customWidth="1" style="1647" min="6415" max="6651"/>
    <col hidden="1" width="9.119999999999999" customWidth="1" style="1647" min="6652" max="6656"/>
    <col hidden="1" width="10.49" customWidth="1" style="1647" min="6657" max="6658"/>
    <col hidden="1" width="9.119999999999999" customWidth="1" style="1647" min="6659" max="6662"/>
    <col hidden="1" width="10.49" customWidth="1" style="1647" min="6663" max="6663"/>
    <col hidden="1" width="24.62" customWidth="1" style="1647" min="6664" max="6664"/>
    <col hidden="1" width="8" customWidth="1" style="1647" min="6665" max="6665"/>
    <col hidden="1" width="3.12" customWidth="1" style="1647" min="6666" max="6666"/>
    <col hidden="1" width="11.12" customWidth="1" style="1647" min="6667" max="6667"/>
    <col hidden="1" width="10.12" customWidth="1" style="1647" min="6668" max="6668"/>
    <col hidden="1" width="8.619999999999999" customWidth="1" style="1647" min="6669" max="6669"/>
    <col hidden="1" width="10.12" customWidth="1" style="1647" min="6670" max="6670"/>
    <col hidden="1" width="8" customWidth="1" style="1647" min="6671" max="6907"/>
    <col hidden="1" width="9.119999999999999" customWidth="1" style="1647" min="6908" max="6912"/>
    <col hidden="1" width="10.49" customWidth="1" style="1647" min="6913" max="6914"/>
    <col hidden="1" width="9.119999999999999" customWidth="1" style="1647" min="6915" max="6918"/>
    <col hidden="1" width="10.49" customWidth="1" style="1647" min="6919" max="6919"/>
    <col hidden="1" width="24.62" customWidth="1" style="1647" min="6920" max="6920"/>
    <col hidden="1" width="8" customWidth="1" style="1647" min="6921" max="6921"/>
    <col hidden="1" width="3.12" customWidth="1" style="1647" min="6922" max="6922"/>
    <col hidden="1" width="11.12" customWidth="1" style="1647" min="6923" max="6923"/>
    <col hidden="1" width="10.12" customWidth="1" style="1647" min="6924" max="6924"/>
    <col hidden="1" width="8.619999999999999" customWidth="1" style="1647" min="6925" max="6925"/>
    <col hidden="1" width="10.12" customWidth="1" style="1647" min="6926" max="6926"/>
    <col hidden="1" width="8" customWidth="1" style="1647" min="6927" max="7163"/>
    <col hidden="1" width="9.119999999999999" customWidth="1" style="1647" min="7164" max="7168"/>
    <col hidden="1" width="10.49" customWidth="1" style="1647" min="7169" max="7170"/>
    <col hidden="1" width="9.119999999999999" customWidth="1" style="1647" min="7171" max="7174"/>
    <col hidden="1" width="10.49" customWidth="1" style="1647" min="7175" max="7175"/>
    <col hidden="1" width="24.62" customWidth="1" style="1647" min="7176" max="7176"/>
    <col hidden="1" width="8" customWidth="1" style="1647" min="7177" max="7177"/>
    <col hidden="1" width="3.12" customWidth="1" style="1647" min="7178" max="7178"/>
    <col hidden="1" width="11.12" customWidth="1" style="1647" min="7179" max="7179"/>
    <col hidden="1" width="10.12" customWidth="1" style="1647" min="7180" max="7180"/>
    <col hidden="1" width="8.619999999999999" customWidth="1" style="1647" min="7181" max="7181"/>
    <col hidden="1" width="10.12" customWidth="1" style="1647" min="7182" max="7182"/>
    <col hidden="1" width="8" customWidth="1" style="1647" min="7183" max="7419"/>
    <col hidden="1" width="9.119999999999999" customWidth="1" style="1647" min="7420" max="7424"/>
    <col hidden="1" width="10.49" customWidth="1" style="1647" min="7425" max="7426"/>
    <col hidden="1" width="9.119999999999999" customWidth="1" style="1647" min="7427" max="7430"/>
    <col hidden="1" width="10.49" customWidth="1" style="1647" min="7431" max="7431"/>
    <col hidden="1" width="24.62" customWidth="1" style="1647" min="7432" max="7432"/>
    <col hidden="1" width="8" customWidth="1" style="1647" min="7433" max="7433"/>
    <col hidden="1" width="3.12" customWidth="1" style="1647" min="7434" max="7434"/>
    <col hidden="1" width="11.12" customWidth="1" style="1647" min="7435" max="7435"/>
    <col hidden="1" width="10.12" customWidth="1" style="1647" min="7436" max="7436"/>
    <col hidden="1" width="8.619999999999999" customWidth="1" style="1647" min="7437" max="7437"/>
    <col hidden="1" width="10.12" customWidth="1" style="1647" min="7438" max="7438"/>
    <col hidden="1" width="8" customWidth="1" style="1647" min="7439" max="7675"/>
    <col hidden="1" width="9.119999999999999" customWidth="1" style="1647" min="7676" max="7680"/>
    <col hidden="1" width="10.49" customWidth="1" style="1647" min="7681" max="7682"/>
    <col hidden="1" width="9.119999999999999" customWidth="1" style="1647" min="7683" max="7686"/>
    <col hidden="1" width="10.49" customWidth="1" style="1647" min="7687" max="7687"/>
    <col hidden="1" width="24.62" customWidth="1" style="1647" min="7688" max="7688"/>
    <col hidden="1" width="8" customWidth="1" style="1647" min="7689" max="7689"/>
    <col hidden="1" width="3.12" customWidth="1" style="1647" min="7690" max="7690"/>
    <col hidden="1" width="11.12" customWidth="1" style="1647" min="7691" max="7691"/>
    <col hidden="1" width="10.12" customWidth="1" style="1647" min="7692" max="7692"/>
    <col hidden="1" width="8.619999999999999" customWidth="1" style="1647" min="7693" max="7693"/>
    <col hidden="1" width="10.12" customWidth="1" style="1647" min="7694" max="7694"/>
    <col hidden="1" width="8" customWidth="1" style="1647" min="7695" max="7931"/>
    <col hidden="1" width="9.119999999999999" customWidth="1" style="1647" min="7932" max="7936"/>
    <col hidden="1" width="10.49" customWidth="1" style="1647" min="7937" max="7938"/>
    <col hidden="1" width="9.119999999999999" customWidth="1" style="1647" min="7939" max="7942"/>
    <col hidden="1" width="10.49" customWidth="1" style="1647" min="7943" max="7943"/>
    <col hidden="1" width="24.62" customWidth="1" style="1647" min="7944" max="7944"/>
    <col hidden="1" width="8" customWidth="1" style="1647" min="7945" max="7945"/>
    <col hidden="1" width="3.12" customWidth="1" style="1647" min="7946" max="7946"/>
    <col hidden="1" width="11.12" customWidth="1" style="1647" min="7947" max="7947"/>
    <col hidden="1" width="10.12" customWidth="1" style="1647" min="7948" max="7948"/>
    <col hidden="1" width="8.619999999999999" customWidth="1" style="1647" min="7949" max="7949"/>
    <col hidden="1" width="10.12" customWidth="1" style="1647" min="7950" max="7950"/>
    <col hidden="1" width="8" customWidth="1" style="1647" min="7951" max="8187"/>
    <col hidden="1" width="9.119999999999999" customWidth="1" style="1647" min="8188" max="8192"/>
    <col hidden="1" width="10.49" customWidth="1" style="1647" min="8193" max="8194"/>
    <col hidden="1" width="9.119999999999999" customWidth="1" style="1647" min="8195" max="8198"/>
    <col hidden="1" width="10.49" customWidth="1" style="1647" min="8199" max="8199"/>
    <col hidden="1" width="24.62" customWidth="1" style="1647" min="8200" max="8200"/>
    <col hidden="1" width="8" customWidth="1" style="1647" min="8201" max="8201"/>
    <col hidden="1" width="3.12" customWidth="1" style="1647" min="8202" max="8202"/>
    <col hidden="1" width="11.12" customWidth="1" style="1647" min="8203" max="8203"/>
    <col hidden="1" width="10.12" customWidth="1" style="1647" min="8204" max="8204"/>
    <col hidden="1" width="8.619999999999999" customWidth="1" style="1647" min="8205" max="8205"/>
    <col hidden="1" width="10.12" customWidth="1" style="1647" min="8206" max="8206"/>
    <col hidden="1" width="8" customWidth="1" style="1647" min="8207" max="8443"/>
    <col hidden="1" width="9.119999999999999" customWidth="1" style="1647" min="8444" max="8448"/>
    <col hidden="1" width="10.49" customWidth="1" style="1647" min="8449" max="8450"/>
    <col hidden="1" width="9.119999999999999" customWidth="1" style="1647" min="8451" max="8454"/>
    <col hidden="1" width="10.49" customWidth="1" style="1647" min="8455" max="8455"/>
    <col hidden="1" width="24.62" customWidth="1" style="1647" min="8456" max="8456"/>
    <col hidden="1" width="8" customWidth="1" style="1647" min="8457" max="8457"/>
    <col hidden="1" width="3.12" customWidth="1" style="1647" min="8458" max="8458"/>
    <col hidden="1" width="11.12" customWidth="1" style="1647" min="8459" max="8459"/>
    <col hidden="1" width="10.12" customWidth="1" style="1647" min="8460" max="8460"/>
    <col hidden="1" width="8.619999999999999" customWidth="1" style="1647" min="8461" max="8461"/>
    <col hidden="1" width="10.12" customWidth="1" style="1647" min="8462" max="8462"/>
    <col hidden="1" width="8" customWidth="1" style="1647" min="8463" max="8699"/>
    <col hidden="1" width="9.119999999999999" customWidth="1" style="1647" min="8700" max="8704"/>
    <col hidden="1" width="10.49" customWidth="1" style="1647" min="8705" max="8706"/>
    <col hidden="1" width="9.119999999999999" customWidth="1" style="1647" min="8707" max="8710"/>
    <col hidden="1" width="10.49" customWidth="1" style="1647" min="8711" max="8711"/>
    <col hidden="1" width="24.62" customWidth="1" style="1647" min="8712" max="8712"/>
    <col hidden="1" width="8" customWidth="1" style="1647" min="8713" max="8713"/>
    <col hidden="1" width="3.12" customWidth="1" style="1647" min="8714" max="8714"/>
    <col hidden="1" width="11.12" customWidth="1" style="1647" min="8715" max="8715"/>
    <col hidden="1" width="10.12" customWidth="1" style="1647" min="8716" max="8716"/>
    <col hidden="1" width="8.619999999999999" customWidth="1" style="1647" min="8717" max="8717"/>
    <col hidden="1" width="10.12" customWidth="1" style="1647" min="8718" max="8718"/>
    <col hidden="1" width="8" customWidth="1" style="1647" min="8719" max="8955"/>
    <col hidden="1" width="9.119999999999999" customWidth="1" style="1647" min="8956" max="8960"/>
    <col hidden="1" width="10.49" customWidth="1" style="1647" min="8961" max="8962"/>
    <col hidden="1" width="9.119999999999999" customWidth="1" style="1647" min="8963" max="8966"/>
    <col hidden="1" width="10.49" customWidth="1" style="1647" min="8967" max="8967"/>
    <col hidden="1" width="24.62" customWidth="1" style="1647" min="8968" max="8968"/>
    <col hidden="1" width="8" customWidth="1" style="1647" min="8969" max="8969"/>
    <col hidden="1" width="3.12" customWidth="1" style="1647" min="8970" max="8970"/>
    <col hidden="1" width="11.12" customWidth="1" style="1647" min="8971" max="8971"/>
    <col hidden="1" width="10.12" customWidth="1" style="1647" min="8972" max="8972"/>
    <col hidden="1" width="8.619999999999999" customWidth="1" style="1647" min="8973" max="8973"/>
    <col hidden="1" width="10.12" customWidth="1" style="1647" min="8974" max="8974"/>
    <col hidden="1" width="8" customWidth="1" style="1647" min="8975" max="9211"/>
    <col hidden="1" width="9.119999999999999" customWidth="1" style="1647" min="9212" max="9216"/>
    <col hidden="1" width="10.49" customWidth="1" style="1647" min="9217" max="9218"/>
    <col hidden="1" width="9.119999999999999" customWidth="1" style="1647" min="9219" max="9222"/>
    <col hidden="1" width="10.49" customWidth="1" style="1647" min="9223" max="9223"/>
    <col hidden="1" width="24.62" customWidth="1" style="1647" min="9224" max="9224"/>
    <col hidden="1" width="8" customWidth="1" style="1647" min="9225" max="9225"/>
    <col hidden="1" width="3.12" customWidth="1" style="1647" min="9226" max="9226"/>
    <col hidden="1" width="11.12" customWidth="1" style="1647" min="9227" max="9227"/>
    <col hidden="1" width="10.12" customWidth="1" style="1647" min="9228" max="9228"/>
    <col hidden="1" width="8.619999999999999" customWidth="1" style="1647" min="9229" max="9229"/>
    <col hidden="1" width="10.12" customWidth="1" style="1647" min="9230" max="9230"/>
    <col hidden="1" width="8" customWidth="1" style="1647" min="9231" max="9467"/>
    <col hidden="1" width="9.119999999999999" customWidth="1" style="1647" min="9468" max="9472"/>
    <col hidden="1" width="10.49" customWidth="1" style="1647" min="9473" max="9474"/>
    <col hidden="1" width="9.119999999999999" customWidth="1" style="1647" min="9475" max="9478"/>
    <col hidden="1" width="10.49" customWidth="1" style="1647" min="9479" max="9479"/>
    <col hidden="1" width="24.62" customWidth="1" style="1647" min="9480" max="9480"/>
    <col hidden="1" width="8" customWidth="1" style="1647" min="9481" max="9481"/>
    <col hidden="1" width="3.12" customWidth="1" style="1647" min="9482" max="9482"/>
    <col hidden="1" width="11.12" customWidth="1" style="1647" min="9483" max="9483"/>
    <col hidden="1" width="10.12" customWidth="1" style="1647" min="9484" max="9484"/>
    <col hidden="1" width="8.619999999999999" customWidth="1" style="1647" min="9485" max="9485"/>
    <col hidden="1" width="10.12" customWidth="1" style="1647" min="9486" max="9486"/>
    <col hidden="1" width="8" customWidth="1" style="1647" min="9487" max="9723"/>
    <col hidden="1" width="9.119999999999999" customWidth="1" style="1647" min="9724" max="9728"/>
    <col hidden="1" width="10.49" customWidth="1" style="1647" min="9729" max="9730"/>
    <col hidden="1" width="9.119999999999999" customWidth="1" style="1647" min="9731" max="9734"/>
    <col hidden="1" width="10.49" customWidth="1" style="1647" min="9735" max="9735"/>
    <col hidden="1" width="24.62" customWidth="1" style="1647" min="9736" max="9736"/>
    <col hidden="1" width="8" customWidth="1" style="1647" min="9737" max="9737"/>
    <col hidden="1" width="3.12" customWidth="1" style="1647" min="9738" max="9738"/>
    <col hidden="1" width="11.12" customWidth="1" style="1647" min="9739" max="9739"/>
    <col hidden="1" width="10.12" customWidth="1" style="1647" min="9740" max="9740"/>
    <col hidden="1" width="8.619999999999999" customWidth="1" style="1647" min="9741" max="9741"/>
    <col hidden="1" width="10.12" customWidth="1" style="1647" min="9742" max="9742"/>
    <col hidden="1" width="8" customWidth="1" style="1647" min="9743" max="9979"/>
    <col hidden="1" width="9.119999999999999" customWidth="1" style="1647" min="9980" max="9984"/>
    <col hidden="1" width="10.49" customWidth="1" style="1647" min="9985" max="9986"/>
    <col hidden="1" width="9.119999999999999" customWidth="1" style="1647" min="9987" max="9990"/>
    <col hidden="1" width="10.49" customWidth="1" style="1647" min="9991" max="9991"/>
    <col hidden="1" width="24.62" customWidth="1" style="1647" min="9992" max="9992"/>
    <col hidden="1" width="8" customWidth="1" style="1647" min="9993" max="9993"/>
    <col hidden="1" width="3.12" customWidth="1" style="1647" min="9994" max="9994"/>
    <col hidden="1" width="11.12" customWidth="1" style="1647" min="9995" max="9995"/>
    <col hidden="1" width="10.12" customWidth="1" style="1647" min="9996" max="9996"/>
    <col hidden="1" width="8.619999999999999" customWidth="1" style="1647" min="9997" max="9997"/>
    <col hidden="1" width="10.12" customWidth="1" style="1647" min="9998" max="9998"/>
    <col hidden="1" width="8" customWidth="1" style="1647" min="9999" max="10235"/>
    <col hidden="1" width="9.119999999999999" customWidth="1" style="1647" min="10236" max="10240"/>
    <col hidden="1" width="10.49" customWidth="1" style="1647" min="10241" max="10242"/>
    <col hidden="1" width="9.119999999999999" customWidth="1" style="1647" min="10243" max="10246"/>
    <col hidden="1" width="10.49" customWidth="1" style="1647" min="10247" max="10247"/>
    <col hidden="1" width="24.62" customWidth="1" style="1647" min="10248" max="10248"/>
    <col hidden="1" width="8" customWidth="1" style="1647" min="10249" max="10249"/>
    <col hidden="1" width="3.12" customWidth="1" style="1647" min="10250" max="10250"/>
    <col hidden="1" width="11.12" customWidth="1" style="1647" min="10251" max="10251"/>
    <col hidden="1" width="10.12" customWidth="1" style="1647" min="10252" max="10252"/>
    <col hidden="1" width="8.619999999999999" customWidth="1" style="1647" min="10253" max="10253"/>
    <col hidden="1" width="10.12" customWidth="1" style="1647" min="10254" max="10254"/>
    <col hidden="1" width="8" customWidth="1" style="1647" min="10255" max="10491"/>
    <col hidden="1" width="9.119999999999999" customWidth="1" style="1647" min="10492" max="10496"/>
    <col hidden="1" width="10.49" customWidth="1" style="1647" min="10497" max="10498"/>
    <col hidden="1" width="9.119999999999999" customWidth="1" style="1647" min="10499" max="10502"/>
    <col hidden="1" width="10.49" customWidth="1" style="1647" min="10503" max="10503"/>
    <col hidden="1" width="24.62" customWidth="1" style="1647" min="10504" max="10504"/>
    <col hidden="1" width="8" customWidth="1" style="1647" min="10505" max="10505"/>
    <col hidden="1" width="3.12" customWidth="1" style="1647" min="10506" max="10506"/>
    <col hidden="1" width="11.12" customWidth="1" style="1647" min="10507" max="10507"/>
    <col hidden="1" width="10.12" customWidth="1" style="1647" min="10508" max="10508"/>
    <col hidden="1" width="8.619999999999999" customWidth="1" style="1647" min="10509" max="10509"/>
    <col hidden="1" width="10.12" customWidth="1" style="1647" min="10510" max="10510"/>
    <col hidden="1" width="8" customWidth="1" style="1647" min="10511" max="10747"/>
    <col hidden="1" width="9.119999999999999" customWidth="1" style="1647" min="10748" max="10752"/>
    <col hidden="1" width="10.49" customWidth="1" style="1647" min="10753" max="10754"/>
    <col hidden="1" width="9.119999999999999" customWidth="1" style="1647" min="10755" max="10758"/>
    <col hidden="1" width="10.49" customWidth="1" style="1647" min="10759" max="10759"/>
    <col hidden="1" width="24.62" customWidth="1" style="1647" min="10760" max="10760"/>
    <col hidden="1" width="8" customWidth="1" style="1647" min="10761" max="10761"/>
    <col hidden="1" width="3.12" customWidth="1" style="1647" min="10762" max="10762"/>
    <col hidden="1" width="11.12" customWidth="1" style="1647" min="10763" max="10763"/>
    <col hidden="1" width="10.12" customWidth="1" style="1647" min="10764" max="10764"/>
    <col hidden="1" width="8.619999999999999" customWidth="1" style="1647" min="10765" max="10765"/>
    <col hidden="1" width="10.12" customWidth="1" style="1647" min="10766" max="10766"/>
    <col hidden="1" width="8" customWidth="1" style="1647" min="10767" max="11003"/>
    <col hidden="1" width="9.119999999999999" customWidth="1" style="1647" min="11004" max="11008"/>
    <col hidden="1" width="10.49" customWidth="1" style="1647" min="11009" max="11010"/>
    <col hidden="1" width="9.119999999999999" customWidth="1" style="1647" min="11011" max="11014"/>
    <col hidden="1" width="10.49" customWidth="1" style="1647" min="11015" max="11015"/>
    <col hidden="1" width="24.62" customWidth="1" style="1647" min="11016" max="11016"/>
    <col hidden="1" width="8" customWidth="1" style="1647" min="11017" max="11017"/>
    <col hidden="1" width="3.12" customWidth="1" style="1647" min="11018" max="11018"/>
    <col hidden="1" width="11.12" customWidth="1" style="1647" min="11019" max="11019"/>
    <col hidden="1" width="10.12" customWidth="1" style="1647" min="11020" max="11020"/>
    <col hidden="1" width="8.619999999999999" customWidth="1" style="1647" min="11021" max="11021"/>
    <col hidden="1" width="10.12" customWidth="1" style="1647" min="11022" max="11022"/>
    <col hidden="1" width="8" customWidth="1" style="1647" min="11023" max="11259"/>
    <col hidden="1" width="9.119999999999999" customWidth="1" style="1647" min="11260" max="11264"/>
    <col hidden="1" width="10.49" customWidth="1" style="1647" min="11265" max="11266"/>
    <col hidden="1" width="9.119999999999999" customWidth="1" style="1647" min="11267" max="11270"/>
    <col hidden="1" width="10.49" customWidth="1" style="1647" min="11271" max="11271"/>
    <col hidden="1" width="24.62" customWidth="1" style="1647" min="11272" max="11272"/>
    <col hidden="1" width="8" customWidth="1" style="1647" min="11273" max="11273"/>
    <col hidden="1" width="3.12" customWidth="1" style="1647" min="11274" max="11274"/>
    <col hidden="1" width="11.12" customWidth="1" style="1647" min="11275" max="11275"/>
    <col hidden="1" width="10.12" customWidth="1" style="1647" min="11276" max="11276"/>
    <col hidden="1" width="8.619999999999999" customWidth="1" style="1647" min="11277" max="11277"/>
    <col hidden="1" width="10.12" customWidth="1" style="1647" min="11278" max="11278"/>
    <col hidden="1" width="8" customWidth="1" style="1647" min="11279" max="11515"/>
    <col hidden="1" width="9.119999999999999" customWidth="1" style="1647" min="11516" max="11520"/>
    <col hidden="1" width="10.49" customWidth="1" style="1647" min="11521" max="11522"/>
    <col hidden="1" width="9.119999999999999" customWidth="1" style="1647" min="11523" max="11526"/>
    <col hidden="1" width="10.49" customWidth="1" style="1647" min="11527" max="11527"/>
    <col hidden="1" width="24.62" customWidth="1" style="1647" min="11528" max="11528"/>
    <col hidden="1" width="8" customWidth="1" style="1647" min="11529" max="11529"/>
    <col hidden="1" width="3.12" customWidth="1" style="1647" min="11530" max="11530"/>
    <col hidden="1" width="11.12" customWidth="1" style="1647" min="11531" max="11531"/>
    <col hidden="1" width="10.12" customWidth="1" style="1647" min="11532" max="11532"/>
    <col hidden="1" width="8.619999999999999" customWidth="1" style="1647" min="11533" max="11533"/>
    <col hidden="1" width="10.12" customWidth="1" style="1647" min="11534" max="11534"/>
    <col hidden="1" width="8" customWidth="1" style="1647" min="11535" max="11771"/>
    <col hidden="1" width="9.119999999999999" customWidth="1" style="1647" min="11772" max="11776"/>
    <col hidden="1" width="10.49" customWidth="1" style="1647" min="11777" max="11778"/>
    <col hidden="1" width="9.119999999999999" customWidth="1" style="1647" min="11779" max="11782"/>
    <col hidden="1" width="10.49" customWidth="1" style="1647" min="11783" max="11783"/>
    <col hidden="1" width="24.62" customWidth="1" style="1647" min="11784" max="11784"/>
    <col hidden="1" width="8" customWidth="1" style="1647" min="11785" max="11785"/>
    <col hidden="1" width="3.12" customWidth="1" style="1647" min="11786" max="11786"/>
    <col hidden="1" width="11.12" customWidth="1" style="1647" min="11787" max="11787"/>
    <col hidden="1" width="10.12" customWidth="1" style="1647" min="11788" max="11788"/>
    <col hidden="1" width="8.619999999999999" customWidth="1" style="1647" min="11789" max="11789"/>
    <col hidden="1" width="10.12" customWidth="1" style="1647" min="11790" max="11790"/>
    <col hidden="1" width="8" customWidth="1" style="1647" min="11791" max="12027"/>
    <col hidden="1" width="9.119999999999999" customWidth="1" style="1647" min="12028" max="12032"/>
    <col hidden="1" width="10.49" customWidth="1" style="1647" min="12033" max="12034"/>
    <col hidden="1" width="9.119999999999999" customWidth="1" style="1647" min="12035" max="12038"/>
    <col hidden="1" width="10.49" customWidth="1" style="1647" min="12039" max="12039"/>
    <col hidden="1" width="24.62" customWidth="1" style="1647" min="12040" max="12040"/>
    <col hidden="1" width="8" customWidth="1" style="1647" min="12041" max="12041"/>
    <col hidden="1" width="3.12" customWidth="1" style="1647" min="12042" max="12042"/>
    <col hidden="1" width="11.12" customWidth="1" style="1647" min="12043" max="12043"/>
    <col hidden="1" width="10.12" customWidth="1" style="1647" min="12044" max="12044"/>
    <col hidden="1" width="8.619999999999999" customWidth="1" style="1647" min="12045" max="12045"/>
    <col hidden="1" width="10.12" customWidth="1" style="1647" min="12046" max="12046"/>
    <col hidden="1" width="8" customWidth="1" style="1647" min="12047" max="12283"/>
    <col hidden="1" width="9.119999999999999" customWidth="1" style="1647" min="12284" max="12288"/>
    <col hidden="1" width="10.49" customWidth="1" style="1647" min="12289" max="12290"/>
    <col hidden="1" width="9.119999999999999" customWidth="1" style="1647" min="12291" max="12294"/>
    <col hidden="1" width="10.49" customWidth="1" style="1647" min="12295" max="12295"/>
    <col hidden="1" width="24.62" customWidth="1" style="1647" min="12296" max="12296"/>
    <col hidden="1" width="8" customWidth="1" style="1647" min="12297" max="12297"/>
    <col hidden="1" width="3.12" customWidth="1" style="1647" min="12298" max="12298"/>
    <col hidden="1" width="11.12" customWidth="1" style="1647" min="12299" max="12299"/>
    <col hidden="1" width="10.12" customWidth="1" style="1647" min="12300" max="12300"/>
    <col hidden="1" width="8.619999999999999" customWidth="1" style="1647" min="12301" max="12301"/>
    <col hidden="1" width="10.12" customWidth="1" style="1647" min="12302" max="12302"/>
    <col hidden="1" width="8" customWidth="1" style="1647" min="12303" max="12539"/>
    <col hidden="1" width="9.119999999999999" customWidth="1" style="1647" min="12540" max="12544"/>
    <col hidden="1" width="10.49" customWidth="1" style="1647" min="12545" max="12546"/>
    <col hidden="1" width="9.119999999999999" customWidth="1" style="1647" min="12547" max="12550"/>
    <col hidden="1" width="10.49" customWidth="1" style="1647" min="12551" max="12551"/>
    <col hidden="1" width="24.62" customWidth="1" style="1647" min="12552" max="12552"/>
    <col hidden="1" width="8" customWidth="1" style="1647" min="12553" max="12553"/>
    <col hidden="1" width="3.12" customWidth="1" style="1647" min="12554" max="12554"/>
    <col hidden="1" width="11.12" customWidth="1" style="1647" min="12555" max="12555"/>
    <col hidden="1" width="10.12" customWidth="1" style="1647" min="12556" max="12556"/>
    <col hidden="1" width="8.619999999999999" customWidth="1" style="1647" min="12557" max="12557"/>
    <col hidden="1" width="10.12" customWidth="1" style="1647" min="12558" max="12558"/>
    <col hidden="1" width="8" customWidth="1" style="1647" min="12559" max="12795"/>
    <col hidden="1" width="9.119999999999999" customWidth="1" style="1647" min="12796" max="12800"/>
    <col hidden="1" width="10.49" customWidth="1" style="1647" min="12801" max="12802"/>
    <col hidden="1" width="9.119999999999999" customWidth="1" style="1647" min="12803" max="12806"/>
    <col hidden="1" width="10.49" customWidth="1" style="1647" min="12807" max="12807"/>
    <col hidden="1" width="24.62" customWidth="1" style="1647" min="12808" max="12808"/>
    <col hidden="1" width="8" customWidth="1" style="1647" min="12809" max="12809"/>
    <col hidden="1" width="3.12" customWidth="1" style="1647" min="12810" max="12810"/>
    <col hidden="1" width="11.12" customWidth="1" style="1647" min="12811" max="12811"/>
    <col hidden="1" width="10.12" customWidth="1" style="1647" min="12812" max="12812"/>
    <col hidden="1" width="8.619999999999999" customWidth="1" style="1647" min="12813" max="12813"/>
    <col hidden="1" width="10.12" customWidth="1" style="1647" min="12814" max="12814"/>
    <col hidden="1" width="8" customWidth="1" style="1647" min="12815" max="13051"/>
    <col hidden="1" width="9.119999999999999" customWidth="1" style="1647" min="13052" max="13056"/>
    <col hidden="1" width="10.49" customWidth="1" style="1647" min="13057" max="13058"/>
    <col hidden="1" width="9.119999999999999" customWidth="1" style="1647" min="13059" max="13062"/>
    <col hidden="1" width="10.49" customWidth="1" style="1647" min="13063" max="13063"/>
    <col hidden="1" width="24.62" customWidth="1" style="1647" min="13064" max="13064"/>
    <col hidden="1" width="8" customWidth="1" style="1647" min="13065" max="13065"/>
    <col hidden="1" width="3.12" customWidth="1" style="1647" min="13066" max="13066"/>
    <col hidden="1" width="11.12" customWidth="1" style="1647" min="13067" max="13067"/>
    <col hidden="1" width="10.12" customWidth="1" style="1647" min="13068" max="13068"/>
    <col hidden="1" width="8.619999999999999" customWidth="1" style="1647" min="13069" max="13069"/>
    <col hidden="1" width="10.12" customWidth="1" style="1647" min="13070" max="13070"/>
    <col hidden="1" width="8" customWidth="1" style="1647" min="13071" max="13307"/>
    <col hidden="1" width="9.119999999999999" customWidth="1" style="1647" min="13308" max="13312"/>
    <col hidden="1" width="10.49" customWidth="1" style="1647" min="13313" max="13314"/>
    <col hidden="1" width="9.119999999999999" customWidth="1" style="1647" min="13315" max="13318"/>
    <col hidden="1" width="10.49" customWidth="1" style="1647" min="13319" max="13319"/>
    <col hidden="1" width="24.62" customWidth="1" style="1647" min="13320" max="13320"/>
    <col hidden="1" width="8" customWidth="1" style="1647" min="13321" max="13321"/>
    <col hidden="1" width="3.12" customWidth="1" style="1647" min="13322" max="13322"/>
    <col hidden="1" width="11.12" customWidth="1" style="1647" min="13323" max="13323"/>
    <col hidden="1" width="10.12" customWidth="1" style="1647" min="13324" max="13324"/>
    <col hidden="1" width="8.619999999999999" customWidth="1" style="1647" min="13325" max="13325"/>
    <col hidden="1" width="10.12" customWidth="1" style="1647" min="13326" max="13326"/>
    <col hidden="1" width="8" customWidth="1" style="1647" min="13327" max="13563"/>
    <col hidden="1" width="9.119999999999999" customWidth="1" style="1647" min="13564" max="13568"/>
    <col hidden="1" width="10.49" customWidth="1" style="1647" min="13569" max="13570"/>
    <col hidden="1" width="9.119999999999999" customWidth="1" style="1647" min="13571" max="13574"/>
    <col hidden="1" width="10.49" customWidth="1" style="1647" min="13575" max="13575"/>
    <col hidden="1" width="24.62" customWidth="1" style="1647" min="13576" max="13576"/>
    <col hidden="1" width="8" customWidth="1" style="1647" min="13577" max="13577"/>
    <col hidden="1" width="3.12" customWidth="1" style="1647" min="13578" max="13578"/>
    <col hidden="1" width="11.12" customWidth="1" style="1647" min="13579" max="13579"/>
    <col hidden="1" width="10.12" customWidth="1" style="1647" min="13580" max="13580"/>
    <col hidden="1" width="8.619999999999999" customWidth="1" style="1647" min="13581" max="13581"/>
    <col hidden="1" width="10.12" customWidth="1" style="1647" min="13582" max="13582"/>
    <col hidden="1" width="8" customWidth="1" style="1647" min="13583" max="13819"/>
    <col hidden="1" width="9.119999999999999" customWidth="1" style="1647" min="13820" max="13824"/>
    <col hidden="1" width="10.49" customWidth="1" style="1647" min="13825" max="13826"/>
    <col hidden="1" width="9.119999999999999" customWidth="1" style="1647" min="13827" max="13830"/>
    <col hidden="1" width="10.49" customWidth="1" style="1647" min="13831" max="13831"/>
    <col hidden="1" width="24.62" customWidth="1" style="1647" min="13832" max="13832"/>
    <col hidden="1" width="8" customWidth="1" style="1647" min="13833" max="13833"/>
    <col hidden="1" width="3.12" customWidth="1" style="1647" min="13834" max="13834"/>
    <col hidden="1" width="11.12" customWidth="1" style="1647" min="13835" max="13835"/>
    <col hidden="1" width="10.12" customWidth="1" style="1647" min="13836" max="13836"/>
    <col hidden="1" width="8.619999999999999" customWidth="1" style="1647" min="13837" max="13837"/>
    <col hidden="1" width="10.12" customWidth="1" style="1647" min="13838" max="13838"/>
    <col hidden="1" width="8" customWidth="1" style="1647" min="13839" max="14075"/>
    <col hidden="1" width="9.119999999999999" customWidth="1" style="1647" min="14076" max="14080"/>
    <col hidden="1" width="10.49" customWidth="1" style="1647" min="14081" max="14082"/>
    <col hidden="1" width="9.119999999999999" customWidth="1" style="1647" min="14083" max="14086"/>
    <col hidden="1" width="10.49" customWidth="1" style="1647" min="14087" max="14087"/>
    <col hidden="1" width="24.62" customWidth="1" style="1647" min="14088" max="14088"/>
    <col hidden="1" width="8" customWidth="1" style="1647" min="14089" max="14089"/>
    <col hidden="1" width="3.12" customWidth="1" style="1647" min="14090" max="14090"/>
    <col hidden="1" width="11.12" customWidth="1" style="1647" min="14091" max="14091"/>
    <col hidden="1" width="10.12" customWidth="1" style="1647" min="14092" max="14092"/>
    <col hidden="1" width="8.619999999999999" customWidth="1" style="1647" min="14093" max="14093"/>
    <col hidden="1" width="10.12" customWidth="1" style="1647" min="14094" max="14094"/>
    <col hidden="1" width="8" customWidth="1" style="1647" min="14095" max="14331"/>
    <col hidden="1" width="9.119999999999999" customWidth="1" style="1647" min="14332" max="14336"/>
    <col hidden="1" width="10.49" customWidth="1" style="1647" min="14337" max="14338"/>
    <col hidden="1" width="9.119999999999999" customWidth="1" style="1647" min="14339" max="14342"/>
    <col hidden="1" width="10.49" customWidth="1" style="1647" min="14343" max="14343"/>
    <col hidden="1" width="24.62" customWidth="1" style="1647" min="14344" max="14344"/>
    <col hidden="1" width="8" customWidth="1" style="1647" min="14345" max="14345"/>
    <col hidden="1" width="3.12" customWidth="1" style="1647" min="14346" max="14346"/>
    <col hidden="1" width="11.12" customWidth="1" style="1647" min="14347" max="14347"/>
    <col hidden="1" width="10.12" customWidth="1" style="1647" min="14348" max="14348"/>
    <col hidden="1" width="8.619999999999999" customWidth="1" style="1647" min="14349" max="14349"/>
    <col hidden="1" width="10.12" customWidth="1" style="1647" min="14350" max="14350"/>
    <col hidden="1" width="8" customWidth="1" style="1647" min="14351" max="14587"/>
    <col hidden="1" width="9.119999999999999" customWidth="1" style="1647" min="14588" max="14592"/>
    <col hidden="1" width="10.49" customWidth="1" style="1647" min="14593" max="14594"/>
    <col hidden="1" width="9.119999999999999" customWidth="1" style="1647" min="14595" max="14598"/>
    <col hidden="1" width="10.49" customWidth="1" style="1647" min="14599" max="14599"/>
    <col hidden="1" width="24.62" customWidth="1" style="1647" min="14600" max="14600"/>
    <col hidden="1" width="8" customWidth="1" style="1647" min="14601" max="14601"/>
    <col hidden="1" width="3.12" customWidth="1" style="1647" min="14602" max="14602"/>
    <col hidden="1" width="11.12" customWidth="1" style="1647" min="14603" max="14603"/>
    <col hidden="1" width="10.12" customWidth="1" style="1647" min="14604" max="14604"/>
    <col hidden="1" width="8.619999999999999" customWidth="1" style="1647" min="14605" max="14605"/>
    <col hidden="1" width="10.12" customWidth="1" style="1647" min="14606" max="14606"/>
    <col hidden="1" width="8" customWidth="1" style="1647" min="14607" max="14843"/>
    <col hidden="1" width="9.119999999999999" customWidth="1" style="1647" min="14844" max="14848"/>
    <col hidden="1" width="10.49" customWidth="1" style="1647" min="14849" max="14850"/>
    <col hidden="1" width="9.119999999999999" customWidth="1" style="1647" min="14851" max="14854"/>
    <col hidden="1" width="10.49" customWidth="1" style="1647" min="14855" max="14855"/>
    <col hidden="1" width="24.62" customWidth="1" style="1647" min="14856" max="14856"/>
    <col hidden="1" width="8" customWidth="1" style="1647" min="14857" max="14857"/>
    <col hidden="1" width="3.12" customWidth="1" style="1647" min="14858" max="14858"/>
    <col hidden="1" width="11.12" customWidth="1" style="1647" min="14859" max="14859"/>
    <col hidden="1" width="10.12" customWidth="1" style="1647" min="14860" max="14860"/>
    <col hidden="1" width="8.619999999999999" customWidth="1" style="1647" min="14861" max="14861"/>
    <col hidden="1" width="10.12" customWidth="1" style="1647" min="14862" max="14862"/>
    <col hidden="1" width="8" customWidth="1" style="1647" min="14863" max="15099"/>
    <col hidden="1" width="9.119999999999999" customWidth="1" style="1647" min="15100" max="15104"/>
    <col hidden="1" width="10.49" customWidth="1" style="1647" min="15105" max="15106"/>
    <col hidden="1" width="9.119999999999999" customWidth="1" style="1647" min="15107" max="15110"/>
    <col hidden="1" width="10.49" customWidth="1" style="1647" min="15111" max="15111"/>
    <col hidden="1" width="24.62" customWidth="1" style="1647" min="15112" max="15112"/>
    <col hidden="1" width="8" customWidth="1" style="1647" min="15113" max="15113"/>
    <col hidden="1" width="3.12" customWidth="1" style="1647" min="15114" max="15114"/>
    <col hidden="1" width="11.12" customWidth="1" style="1647" min="15115" max="15115"/>
    <col hidden="1" width="10.12" customWidth="1" style="1647" min="15116" max="15116"/>
    <col hidden="1" width="8.619999999999999" customWidth="1" style="1647" min="15117" max="15117"/>
    <col hidden="1" width="10.12" customWidth="1" style="1647" min="15118" max="15118"/>
    <col hidden="1" width="8" customWidth="1" style="1647" min="15119" max="15355"/>
    <col hidden="1" width="9.119999999999999" customWidth="1" style="1647" min="15356" max="15360"/>
    <col hidden="1" width="10.49" customWidth="1" style="1647" min="15361" max="15362"/>
    <col hidden="1" width="9.119999999999999" customWidth="1" style="1647" min="15363" max="15366"/>
    <col hidden="1" width="10.49" customWidth="1" style="1647" min="15367" max="15367"/>
    <col hidden="1" width="24.62" customWidth="1" style="1647" min="15368" max="15368"/>
    <col hidden="1" width="8" customWidth="1" style="1647" min="15369" max="15369"/>
    <col hidden="1" width="3.12" customWidth="1" style="1647" min="15370" max="15370"/>
    <col hidden="1" width="11.12" customWidth="1" style="1647" min="15371" max="15371"/>
    <col hidden="1" width="10.12" customWidth="1" style="1647" min="15372" max="15372"/>
    <col hidden="1" width="8.619999999999999" customWidth="1" style="1647" min="15373" max="15373"/>
    <col hidden="1" width="10.12" customWidth="1" style="1647" min="15374" max="15374"/>
    <col hidden="1" width="8" customWidth="1" style="1647" min="15375" max="15611"/>
    <col hidden="1" width="9.119999999999999" customWidth="1" style="1647" min="15612" max="15616"/>
    <col hidden="1" width="10.49" customWidth="1" style="1647" min="15617" max="15618"/>
    <col hidden="1" width="9.119999999999999" customWidth="1" style="1647" min="15619" max="15622"/>
    <col hidden="1" width="10.49" customWidth="1" style="1647" min="15623" max="15623"/>
    <col hidden="1" width="24.62" customWidth="1" style="1647" min="15624" max="15624"/>
    <col hidden="1" width="8" customWidth="1" style="1647" min="15625" max="15625"/>
    <col hidden="1" width="3.12" customWidth="1" style="1647" min="15626" max="15626"/>
    <col hidden="1" width="11.12" customWidth="1" style="1647" min="15627" max="15627"/>
    <col hidden="1" width="10.12" customWidth="1" style="1647" min="15628" max="15628"/>
    <col hidden="1" width="8.619999999999999" customWidth="1" style="1647" min="15629" max="15629"/>
    <col hidden="1" width="10.12" customWidth="1" style="1647" min="15630" max="15630"/>
    <col hidden="1" width="8" customWidth="1" style="1647" min="15631" max="15867"/>
    <col hidden="1" width="9.119999999999999" customWidth="1" style="1647" min="15868" max="15872"/>
    <col hidden="1" width="10.49" customWidth="1" style="1647" min="15873" max="15874"/>
    <col hidden="1" width="9.119999999999999" customWidth="1" style="1647" min="15875" max="15878"/>
    <col hidden="1" width="10.49" customWidth="1" style="1647" min="15879" max="15879"/>
    <col hidden="1" width="24.62" customWidth="1" style="1647" min="15880" max="15880"/>
    <col hidden="1" width="8" customWidth="1" style="1647" min="15881" max="15881"/>
    <col hidden="1" width="3.12" customWidth="1" style="1647" min="15882" max="15882"/>
    <col hidden="1" width="11.12" customWidth="1" style="1647" min="15883" max="15883"/>
    <col hidden="1" width="10.12" customWidth="1" style="1647" min="15884" max="15884"/>
    <col hidden="1" width="8.619999999999999" customWidth="1" style="1647" min="15885" max="15885"/>
    <col hidden="1" width="10.12" customWidth="1" style="1647" min="15886" max="15886"/>
    <col hidden="1" width="8" customWidth="1" style="1647" min="15887" max="16123"/>
    <col hidden="1" width="9.119999999999999" customWidth="1" style="1647" min="16124" max="16128"/>
    <col hidden="1" width="10.49" customWidth="1" style="1647" min="16129" max="16130"/>
    <col hidden="1" width="9.119999999999999" customWidth="1" style="1647" min="16131" max="16134"/>
    <col hidden="1" width="10.49" customWidth="1" style="1647" min="16135" max="16135"/>
    <col hidden="1" width="24.62" customWidth="1" style="1647" min="16136" max="16136"/>
    <col hidden="1" width="8" customWidth="1" style="1647" min="16137" max="16137"/>
    <col hidden="1" width="3.12" customWidth="1" style="1647" min="16138" max="16138"/>
    <col hidden="1" width="11.12" customWidth="1" style="1647" min="16139" max="16139"/>
    <col hidden="1" width="10.12" customWidth="1" style="1647" min="16140" max="16140"/>
    <col hidden="1" width="8.619999999999999" customWidth="1" style="1647" min="16141" max="16141"/>
    <col hidden="1" width="10.12" customWidth="1" style="1647" min="16142" max="16142"/>
    <col hidden="1" width="8" customWidth="1" style="1647" min="16143" max="16384"/>
  </cols>
  <sheetData>
    <row r="1" ht="15.75" customHeight="1" s="1339">
      <c r="K1" s="1648" t="inlineStr">
        <is>
          <t>Specificaties</t>
        </is>
      </c>
      <c r="L1" s="1078" t="n"/>
      <c r="M1" s="1078" t="n"/>
      <c r="N1" s="1078" t="n"/>
      <c r="O1" s="1078" t="n"/>
      <c r="P1" s="1078" t="n"/>
      <c r="Q1" s="1078" t="n"/>
      <c r="R1" s="1078" t="n"/>
      <c r="S1" s="1078" t="n"/>
      <c r="T1" s="1078" t="n"/>
      <c r="U1" s="1078" t="n"/>
      <c r="V1" s="1078" t="n"/>
    </row>
    <row r="2" ht="15.75" customHeight="1" s="1339">
      <c r="A2" s="1649" t="inlineStr">
        <is>
          <t>Batch</t>
        </is>
      </c>
      <c r="B2" s="1650" t="n"/>
      <c r="C2" s="1651" t="n"/>
      <c r="D2" s="1652" t="inlineStr">
        <is>
          <t>GLT</t>
        </is>
      </c>
      <c r="E2" s="1653" t="inlineStr">
        <is>
          <t>LT</t>
        </is>
      </c>
      <c r="H2" s="1654">
        <f>CHOOSE(WEEKDAY(H4),"Zondag","Maandag","Dinsdag","Woensdag","Donderdag","Vrijdag","Zaterdag")</f>
        <v/>
      </c>
      <c r="K2" s="1655" t="inlineStr">
        <is>
          <t>Parameter</t>
        </is>
      </c>
      <c r="L2" s="1650" t="n"/>
      <c r="M2" s="1656" t="n"/>
      <c r="N2" s="1657" t="inlineStr">
        <is>
          <t>Unit</t>
        </is>
      </c>
      <c r="O2" s="1657" t="inlineStr">
        <is>
          <t>Spec</t>
        </is>
      </c>
      <c r="P2" s="1658" t="inlineStr">
        <is>
          <t>+/-</t>
        </is>
      </c>
      <c r="Q2" s="1659" t="inlineStr">
        <is>
          <t>Parameter</t>
        </is>
      </c>
      <c r="R2" s="1656" t="n"/>
      <c r="S2" s="1657" t="inlineStr">
        <is>
          <t>Unit</t>
        </is>
      </c>
      <c r="T2" s="1657" t="inlineStr">
        <is>
          <t>Spec</t>
        </is>
      </c>
      <c r="U2" s="1658" t="inlineStr">
        <is>
          <t>+/-</t>
        </is>
      </c>
      <c r="V2" s="1660" t="n"/>
      <c r="X2" s="1661" t="n"/>
      <c r="Y2" s="1078" t="n"/>
      <c r="Z2" s="1078" t="n"/>
      <c r="AA2" s="1078" t="n"/>
      <c r="AB2" s="1078" t="n"/>
      <c r="AC2" s="1078" t="n"/>
      <c r="AD2" s="1078" t="n"/>
    </row>
    <row r="3" ht="14.25" customHeight="1" s="1339">
      <c r="A3" s="1662" t="n"/>
      <c r="B3" s="1663" t="n"/>
      <c r="C3" s="1664" t="n"/>
      <c r="D3" s="1665" t="n"/>
      <c r="E3" s="1666" t="n"/>
      <c r="H3" s="1667" t="n"/>
      <c r="K3" s="1655" t="inlineStr">
        <is>
          <t>Original extract</t>
        </is>
      </c>
      <c r="L3" s="1650" t="n"/>
      <c r="M3" s="1656" t="n"/>
      <c r="N3" s="1668" t="inlineStr">
        <is>
          <t>°P</t>
        </is>
      </c>
      <c r="O3" s="1669">
        <f>'Recept-voorblad'!F12</f>
        <v/>
      </c>
      <c r="P3" s="1670">
        <f>'Recept-voorblad'!E12</f>
        <v/>
      </c>
      <c r="Q3" s="1671" t="inlineStr">
        <is>
          <t>Lager temp,</t>
        </is>
      </c>
      <c r="R3" s="1672" t="n"/>
      <c r="S3" s="1657" t="inlineStr">
        <is>
          <t>°C</t>
        </is>
      </c>
      <c r="T3" s="1669">
        <f>'Recept-voorblad'!M23</f>
        <v/>
      </c>
      <c r="U3" s="1673" t="n"/>
      <c r="V3" s="1670" t="n"/>
      <c r="X3" s="1674">
        <f>IF(COUNTIF('Recept-voorblad'!G58:I63,"warm")&gt;0,IF(SUMIF('Recept-voorblad'!G58:P63,"warm",'Recept-voorblad'!P58:P63)= "&gt;65000","Dry hop methode= "&amp;"warm hopsteiner","Dry hop methode= "&amp;"warm hopgun"),"")</f>
        <v/>
      </c>
      <c r="Y3" s="1078" t="n"/>
      <c r="Z3" s="1078" t="n"/>
      <c r="AA3" s="1078" t="n"/>
      <c r="AB3" s="1078" t="n"/>
      <c r="AC3" s="1078" t="n"/>
      <c r="AD3" s="1078" t="n"/>
    </row>
    <row r="4" ht="14.25" customHeight="1" s="1339">
      <c r="A4" s="1675">
        <f>'Recept-voorblad'!C3</f>
        <v/>
      </c>
      <c r="B4" s="1676" t="n"/>
      <c r="C4" s="1677" t="n"/>
      <c r="D4" s="1678">
        <f>Brouwen!I5</f>
        <v/>
      </c>
      <c r="E4" s="1679" t="n"/>
      <c r="H4" s="2213">
        <f>TODAY()</f>
        <v/>
      </c>
      <c r="K4" s="1681">
        <f>'Recept-voorblad'!A23</f>
        <v/>
      </c>
      <c r="L4" s="1078" t="n"/>
      <c r="M4" s="1087" t="n"/>
      <c r="N4" s="1682" t="inlineStr">
        <is>
          <t>°C</t>
        </is>
      </c>
      <c r="O4" s="1683">
        <f>'Recept-voorblad'!F23</f>
        <v/>
      </c>
      <c r="P4" s="1684">
        <f>'Recept-voorblad'!E23</f>
        <v/>
      </c>
      <c r="Q4" s="1685" t="inlineStr">
        <is>
          <t>Lagering time</t>
        </is>
      </c>
      <c r="R4" s="1686" t="n"/>
      <c r="S4" s="1687" t="inlineStr">
        <is>
          <t>days</t>
        </is>
      </c>
      <c r="T4" s="1688">
        <f>'Recept-voorblad'!M22</f>
        <v/>
      </c>
      <c r="U4" s="1689" t="n"/>
      <c r="V4" s="1690" t="n"/>
      <c r="X4" s="1691">
        <f>ROUND(SUMIF('Recept-voorblad'!G55:P60,"warm",'Recept-voorblad'!P55:P60)/1000,1)&amp;"  kilogram dry hop"</f>
        <v/>
      </c>
      <c r="Y4" s="1078" t="n"/>
      <c r="Z4" s="1078" t="n"/>
      <c r="AA4" s="1078" t="n"/>
      <c r="AB4" s="1078" t="n"/>
      <c r="AC4" s="1078" t="n"/>
      <c r="AD4" s="1078" t="n"/>
    </row>
    <row r="5" ht="14.25" customHeight="1" s="1339">
      <c r="A5" s="1692" t="n"/>
      <c r="B5" s="1693" t="n"/>
      <c r="C5" s="1694" t="n"/>
      <c r="D5" s="1695" t="n"/>
      <c r="E5" s="1666" t="n"/>
      <c r="H5" s="1696" t="n"/>
      <c r="K5" s="1681" t="inlineStr">
        <is>
          <t>Temp, Warm dryhop 1</t>
        </is>
      </c>
      <c r="L5" s="1078" t="n"/>
      <c r="M5" s="1087" t="n"/>
      <c r="N5" s="1682" t="inlineStr">
        <is>
          <t>°C</t>
        </is>
      </c>
      <c r="O5" s="1683">
        <f>'Recept-voorblad'!F24</f>
        <v/>
      </c>
      <c r="P5" s="1684">
        <f>'Recept-voorblad'!E24</f>
        <v/>
      </c>
      <c r="Q5" s="1685" t="inlineStr">
        <is>
          <t>Rest extract</t>
        </is>
      </c>
      <c r="R5" s="1686" t="n"/>
      <c r="S5" s="1687" t="inlineStr">
        <is>
          <t>°P</t>
        </is>
      </c>
      <c r="T5" s="1683">
        <f>'Recept-voorblad'!F13</f>
        <v/>
      </c>
      <c r="U5" s="1697">
        <f>'Recept-voorblad'!E13</f>
        <v/>
      </c>
      <c r="V5" s="1690" t="n"/>
      <c r="X5" s="1078" t="n"/>
      <c r="Y5" s="1078" t="n"/>
      <c r="Z5" s="1078" t="n"/>
      <c r="AA5" s="1078" t="n"/>
      <c r="AB5" s="1078" t="n"/>
      <c r="AC5" s="1078" t="n"/>
      <c r="AD5" s="1078" t="n"/>
    </row>
    <row r="6" ht="14.25" customHeight="1" s="1339">
      <c r="A6" s="1698" t="n"/>
      <c r="B6" s="1078" t="n"/>
      <c r="C6" s="1078" t="n"/>
      <c r="D6" s="1699" t="n"/>
      <c r="E6" s="1078" t="n"/>
      <c r="K6" s="1681" t="inlineStr">
        <is>
          <t>Extract warm dryhop 1</t>
        </is>
      </c>
      <c r="L6" s="1078" t="n"/>
      <c r="M6" s="1087" t="n"/>
      <c r="N6" s="1682" t="inlineStr">
        <is>
          <t>°P</t>
        </is>
      </c>
      <c r="O6" s="1683">
        <f>'Recept-voorblad'!F25</f>
        <v/>
      </c>
      <c r="P6" s="1684">
        <f>'Recept-voorblad'!E25</f>
        <v/>
      </c>
      <c r="Q6" s="1685" t="inlineStr">
        <is>
          <t>pH end product</t>
        </is>
      </c>
      <c r="R6" s="1686" t="n"/>
      <c r="S6" s="1687" t="n"/>
      <c r="T6" s="1683">
        <f>'Recept-voorblad'!F17</f>
        <v/>
      </c>
      <c r="U6" s="1697">
        <f>'Recept-voorblad'!E17</f>
        <v/>
      </c>
      <c r="V6" s="1690" t="n"/>
      <c r="X6" s="1674">
        <f>IF(COUNTIF('Recept-voorblad'!G58:I63," @16C")&gt;0,IF(SUMIF('Recept-voorblad'!G58:P63," @16C",'Recept-voorblad'!P58:P63)= "&gt;65000","Dry hop methode= "&amp;"@16C hopsteiner","Dry hop methode= "&amp;" @16C hopgun"),"")</f>
        <v/>
      </c>
      <c r="Y6" s="1078" t="n"/>
      <c r="Z6" s="1078" t="n"/>
      <c r="AA6" s="1078" t="n"/>
      <c r="AB6" s="1078" t="n"/>
      <c r="AC6" s="1078" t="n"/>
      <c r="AD6" s="1078" t="n"/>
    </row>
    <row r="7" ht="14.25" customHeight="1" s="1339">
      <c r="A7" s="1698" t="n"/>
      <c r="B7" s="1698" t="n"/>
      <c r="C7" s="1698" t="n"/>
      <c r="D7" s="1699" t="n"/>
      <c r="E7" s="1699" t="n"/>
      <c r="K7" s="1681" t="inlineStr">
        <is>
          <t>Extract warm dryhop 2</t>
        </is>
      </c>
      <c r="L7" s="1078" t="n"/>
      <c r="M7" s="1087" t="n"/>
      <c r="N7" s="1682" t="inlineStr">
        <is>
          <t>°P</t>
        </is>
      </c>
      <c r="O7" s="1683">
        <f>'Recept-voorblad'!F26</f>
        <v/>
      </c>
      <c r="P7" s="1690">
        <f>'Recept-voorblad'!E26</f>
        <v/>
      </c>
      <c r="Q7" s="1700" t="inlineStr">
        <is>
          <t>Alcohol</t>
        </is>
      </c>
      <c r="R7" s="1701" t="n"/>
      <c r="S7" s="1702" t="inlineStr">
        <is>
          <t>%v/v</t>
        </is>
      </c>
      <c r="T7" s="1703">
        <f>'Recept-voorblad'!F14</f>
        <v/>
      </c>
      <c r="U7" s="1704">
        <f>'Recept-voorblad'!E14</f>
        <v/>
      </c>
      <c r="V7" s="1705" t="n"/>
      <c r="X7" s="1691">
        <f>ROUND(SUMIF('Recept-voorblad'!G58:P63," @16C",'Recept-voorblad'!P58:P63)/1000,1)&amp;"  kilogram dry hop"</f>
        <v/>
      </c>
      <c r="Y7" s="1078" t="n"/>
      <c r="Z7" s="1078" t="n"/>
      <c r="AA7" s="1078" t="n"/>
      <c r="AB7" s="1078" t="n"/>
      <c r="AC7" s="1078" t="n"/>
      <c r="AD7" s="1078" t="n"/>
    </row>
    <row r="8" ht="14.25" customHeight="1" s="1339">
      <c r="A8" s="1706" t="n"/>
      <c r="B8" s="1351" t="inlineStr">
        <is>
          <t>Bier risico</t>
        </is>
      </c>
      <c r="C8" s="1316" t="n"/>
      <c r="D8" s="1351" t="inlineStr">
        <is>
          <t>Bier status</t>
        </is>
      </c>
      <c r="E8" s="1316" t="n"/>
      <c r="K8" s="1681" t="inlineStr">
        <is>
          <t>Extract warm dryhop 3</t>
        </is>
      </c>
      <c r="L8" s="1078" t="n"/>
      <c r="M8" s="1087" t="n"/>
      <c r="N8" s="1682" t="inlineStr">
        <is>
          <t>°P</t>
        </is>
      </c>
      <c r="O8" s="1683">
        <f>'Recept-voorblad'!F27</f>
        <v/>
      </c>
      <c r="P8" s="1690">
        <f>'Recept-voorblad'!E27</f>
        <v/>
      </c>
      <c r="Q8" s="1707" t="inlineStr">
        <is>
          <t>Berekeningen</t>
        </is>
      </c>
      <c r="R8" s="1663" t="n"/>
      <c r="S8" s="1663" t="n"/>
      <c r="T8" s="1663" t="n"/>
      <c r="U8" s="1663" t="n"/>
      <c r="V8" s="1708" t="n"/>
      <c r="X8" s="1078" t="n"/>
      <c r="Y8" s="1078" t="n"/>
      <c r="Z8" s="1078" t="n"/>
      <c r="AA8" s="1078" t="n"/>
      <c r="AB8" s="1078" t="n"/>
      <c r="AC8" s="1078" t="n"/>
      <c r="AD8" s="1078" t="n"/>
    </row>
    <row r="9" ht="14.25" customHeight="1" s="1339">
      <c r="A9" s="1706" t="n"/>
      <c r="B9" s="1142">
        <f>'Recept-voorblad'!N17</f>
        <v/>
      </c>
      <c r="C9" s="1107" t="n"/>
      <c r="D9" s="1142">
        <f>'Recept-voorblad'!N23</f>
        <v/>
      </c>
      <c r="E9" s="1107" t="n"/>
      <c r="K9" s="1681" t="inlineStr">
        <is>
          <t>Fermentation time</t>
        </is>
      </c>
      <c r="L9" s="1078" t="n"/>
      <c r="M9" s="1087" t="n"/>
      <c r="N9" s="1682" t="inlineStr">
        <is>
          <t>days</t>
        </is>
      </c>
      <c r="O9" s="1688">
        <f>'Recept-voorblad'!M21</f>
        <v/>
      </c>
      <c r="P9" s="1690" t="n"/>
      <c r="Q9" s="1686" t="inlineStr">
        <is>
          <t>ADF</t>
        </is>
      </c>
      <c r="R9" s="1087" t="n"/>
      <c r="S9" s="1687" t="inlineStr">
        <is>
          <t>%w/w</t>
        </is>
      </c>
      <c r="T9" s="1683">
        <f t="array" ref="T9:T9">IF(B13="","",(($B$13-(INDEX($B$13:$B$31,COUNTA($B$13:$B$31))))/$B$13)*100)</f>
        <v/>
      </c>
      <c r="U9" s="1709" t="n"/>
      <c r="V9" s="1710" t="n"/>
      <c r="X9" s="1674" t="inlineStr">
        <is>
          <t>Cellar addition</t>
        </is>
      </c>
      <c r="Y9" s="1078" t="n"/>
      <c r="Z9" s="1078" t="n"/>
      <c r="AA9" s="1078" t="n"/>
      <c r="AB9" s="1078" t="n"/>
      <c r="AC9" s="1078" t="n"/>
      <c r="AD9" s="1078" t="n"/>
    </row>
    <row r="10" ht="14.25" customHeight="1" s="1339">
      <c r="A10" s="1706" t="n"/>
      <c r="B10" s="1108" t="n"/>
      <c r="C10" s="1094" t="n"/>
      <c r="D10" s="1108" t="n"/>
      <c r="E10" s="1094" t="n"/>
      <c r="K10" s="1711" t="n"/>
      <c r="L10" s="1663" t="n"/>
      <c r="M10" s="1712" t="n"/>
      <c r="N10" s="1713" t="n"/>
      <c r="O10" s="1703" t="n"/>
      <c r="P10" s="1705" t="n"/>
      <c r="Q10" s="1714" t="inlineStr">
        <is>
          <t>Theoretical ABV</t>
        </is>
      </c>
      <c r="R10" s="1701" t="n"/>
      <c r="S10" s="1702" t="inlineStr">
        <is>
          <t>%v/v</t>
        </is>
      </c>
      <c r="T10" s="1683">
        <f t="array" ref="T10:T10">IF(B13="","",($B$13-(INDEX($B$13:$B$31,COUNTA($B$13:$B$31))))*0.533)</f>
        <v/>
      </c>
      <c r="U10" s="1715" t="n"/>
      <c r="V10" s="1716" t="n"/>
      <c r="X10" s="1661" t="n"/>
      <c r="Y10" s="1078" t="n"/>
      <c r="Z10" s="1078" t="n"/>
      <c r="AA10" s="1078" t="n"/>
      <c r="AB10" s="1078" t="n"/>
      <c r="AC10" s="1078" t="n"/>
      <c r="AD10" s="1078" t="n"/>
    </row>
    <row r="11" ht="13.5" customHeight="1" s="1339">
      <c r="X11" s="1661" t="n"/>
      <c r="Y11" s="1078" t="n"/>
      <c r="Z11" s="1078" t="n"/>
      <c r="AA11" s="1078" t="n"/>
      <c r="AB11" s="1078" t="n"/>
      <c r="AC11" s="1078" t="n"/>
      <c r="AD11" s="1078" t="n"/>
    </row>
    <row r="12" ht="19.5" customHeight="1" s="1339">
      <c r="A12" s="1717" t="inlineStr">
        <is>
          <t>Dagen</t>
        </is>
      </c>
      <c r="B12" s="1718" t="inlineStr">
        <is>
          <t>Plato</t>
        </is>
      </c>
      <c r="C12" s="1719" t="inlineStr">
        <is>
          <t>Temp Hoog</t>
        </is>
      </c>
      <c r="D12" s="1719" t="inlineStr">
        <is>
          <t>Temp Laag</t>
        </is>
      </c>
      <c r="E12" s="1720" t="inlineStr">
        <is>
          <t>pH</t>
        </is>
      </c>
      <c r="F12" s="1721" t="inlineStr">
        <is>
          <t>div,</t>
        </is>
      </c>
      <c r="G12" s="1722" t="inlineStr">
        <is>
          <t>Timer</t>
        </is>
      </c>
      <c r="H12" s="1723" t="inlineStr">
        <is>
          <t>Plato afname</t>
        </is>
      </c>
      <c r="I12" s="1724" t="inlineStr">
        <is>
          <t>Tijd tussen meting</t>
        </is>
      </c>
      <c r="J12" s="1718" t="inlineStr">
        <is>
          <t>Datum</t>
        </is>
      </c>
      <c r="K12" s="1719" t="inlineStr">
        <is>
          <t>Tijd</t>
        </is>
      </c>
      <c r="L12" s="1719" t="inlineStr">
        <is>
          <t>Actie</t>
        </is>
      </c>
      <c r="M12" s="1725" t="n"/>
      <c r="N12" s="1726" t="n"/>
      <c r="O12" s="1719" t="inlineStr">
        <is>
          <t>Opmerkingen</t>
        </is>
      </c>
      <c r="P12" s="1725" t="n"/>
      <c r="Q12" s="1725" t="n"/>
      <c r="R12" s="1725" t="n"/>
      <c r="S12" s="1725" t="n"/>
      <c r="T12" s="1726" t="n"/>
      <c r="U12" s="1719" t="inlineStr">
        <is>
          <t>Operator</t>
        </is>
      </c>
      <c r="V12" s="1726" t="n"/>
      <c r="X12" s="1661" t="n"/>
      <c r="Y12" s="1078" t="n"/>
      <c r="Z12" s="1078" t="n"/>
      <c r="AA12" s="1078" t="n"/>
      <c r="AB12" s="1078" t="n"/>
      <c r="AC12" s="1078" t="n"/>
      <c r="AD12" s="1078" t="n"/>
    </row>
    <row r="13" ht="13.5" customHeight="1" s="1339">
      <c r="A13" s="1727">
        <f>+J13-$J$13+K13/24-$K$13/24</f>
        <v/>
      </c>
      <c r="B13" s="1728">
        <f>IF(Brouwen!AG41="",IF(Brouwen!AE41="",IF(Brouwen!AC41="",IF(Brouwen!AA41="",IF(Brouwen!Y41="",IF(Brouwen!W41="",IF(Brouwen!U41="",Brouwen!S41,Brouwen!U41),Brouwen!W41),Brouwen!Y41),Brouwen!AA41),Brouwen!AC41),Brouwen!AE41),Brouwen!AG41)</f>
        <v/>
      </c>
      <c r="C13" s="1729" t="n"/>
      <c r="D13" s="1729" t="n"/>
      <c r="E13" s="1730">
        <f>IF(Brouwen!S35="","",AVERAGE(Brouwen!S35,Brouwen!U35,Brouwen!W35,Brouwen!Y35,Brouwen!AA35,Brouwen!AC35,Brouwen!AE35,Brouwen!AG35,Brouwen!AI35))</f>
        <v/>
      </c>
      <c r="F13" s="1661" t="n"/>
      <c r="G13" s="1731" t="n"/>
      <c r="H13" s="1732" t="n"/>
      <c r="I13" s="1663" t="n"/>
      <c r="J13" s="1733">
        <f>TRUNC(IF(Brouwen!AG6="",IF(Brouwen!AE6="",IF(Brouwen!AC6="",IF(Brouwen!AA6="",IF(Brouwen!Y6="",IF(Brouwen!W6="",IF(Brouwen!U6="",Brouwen!S6,Brouwen!U6),Brouwen!W6),Brouwen!Y6),Brouwen!AA6),Brouwen!AC6),Brouwen!AE6),Brouwen!AG6))</f>
        <v/>
      </c>
      <c r="K13" s="1734" t="n"/>
      <c r="L13" s="1729" t="n"/>
      <c r="M13" s="1735" t="n"/>
      <c r="N13" s="1736" t="n"/>
      <c r="O13" s="1729" t="inlineStr">
        <is>
          <t>laatste brouwsel</t>
        </is>
      </c>
      <c r="P13" s="1735" t="n"/>
      <c r="Q13" s="1735" t="n"/>
      <c r="R13" s="1735" t="n"/>
      <c r="S13" s="1735" t="n"/>
      <c r="T13" s="1736" t="n"/>
      <c r="U13" s="1729" t="n"/>
      <c r="V13" s="1736" t="n"/>
      <c r="X13" s="1661" t="n"/>
      <c r="Y13" s="1078" t="n"/>
      <c r="Z13" s="1078" t="n"/>
      <c r="AA13" s="1078" t="n"/>
      <c r="AB13" s="1078" t="n"/>
      <c r="AC13" s="1078" t="n"/>
      <c r="AD13" s="1078" t="n"/>
    </row>
    <row r="14" ht="12.75" customHeight="1" s="1339">
      <c r="A14" s="1737">
        <f>+J14-$J$13+K14/24-$K$13/24</f>
        <v/>
      </c>
      <c r="B14" s="1738" t="n"/>
      <c r="C14" s="1739" t="n"/>
      <c r="D14" s="1739" t="n"/>
      <c r="E14" s="1740" t="n"/>
      <c r="F14" s="1741" t="n"/>
      <c r="G14" s="1742">
        <f>IF(K14="","",(B14-F14)/(H14+0.000001)*I14)</f>
        <v/>
      </c>
      <c r="H14" s="1743">
        <f>IF(B14="","",(B13-B14))</f>
        <v/>
      </c>
      <c r="I14" s="1744">
        <f>IF(K14="","",24*(A14-A13))</f>
        <v/>
      </c>
      <c r="J14" s="1745" t="n"/>
      <c r="K14" s="1746" t="n"/>
      <c r="L14" s="1739" t="n"/>
      <c r="M14" s="1747" t="n"/>
      <c r="N14" s="1748" t="n"/>
      <c r="O14" s="1739" t="n"/>
      <c r="P14" s="1747" t="n"/>
      <c r="Q14" s="1747" t="n"/>
      <c r="R14" s="1747" t="n"/>
      <c r="S14" s="1747" t="n"/>
      <c r="T14" s="1748" t="n"/>
      <c r="U14" s="1739" t="n"/>
      <c r="V14" s="1748" t="n"/>
    </row>
    <row r="15" ht="12.75" customHeight="1" s="1339">
      <c r="A15" s="1737">
        <f>+J15-$J$13+K15/24-$K$13/24</f>
        <v/>
      </c>
      <c r="B15" s="1738" t="n"/>
      <c r="C15" s="1739" t="n"/>
      <c r="D15" s="1739" t="n"/>
      <c r="E15" s="1740" t="n"/>
      <c r="F15" s="1749" t="n"/>
      <c r="G15" s="1750">
        <f>IF(K15="","",(B15-F15)/(H15+0.000001)*I15)</f>
        <v/>
      </c>
      <c r="H15" s="1751">
        <f>IF(B15="","",(B14-B15))</f>
        <v/>
      </c>
      <c r="I15" s="1752">
        <f>IF(K15="","",24*(A15-A14))</f>
        <v/>
      </c>
      <c r="J15" s="1745" t="n"/>
      <c r="K15" s="1746" t="n"/>
      <c r="L15" s="1739" t="n"/>
      <c r="M15" s="1747" t="n"/>
      <c r="N15" s="1748" t="n"/>
      <c r="O15" s="1739" t="n"/>
      <c r="P15" s="1747" t="n"/>
      <c r="Q15" s="1747" t="n"/>
      <c r="R15" s="1747" t="n"/>
      <c r="S15" s="1747" t="n"/>
      <c r="T15" s="1748" t="n"/>
      <c r="U15" s="1739" t="n"/>
      <c r="V15" s="1748" t="n"/>
    </row>
    <row r="16" ht="14.25" customHeight="1" s="1339">
      <c r="A16" s="1737">
        <f>+J16-$J$13+K16/24-$K$13/24</f>
        <v/>
      </c>
      <c r="B16" s="1738" t="n"/>
      <c r="C16" s="1739" t="n"/>
      <c r="D16" s="1739" t="n"/>
      <c r="E16" s="1740" t="n"/>
      <c r="F16" s="1749" t="n"/>
      <c r="G16" s="1750">
        <f>IF(K16="","",(B16-F16)/(H16+0.000001)*I16)</f>
        <v/>
      </c>
      <c r="H16" s="1751">
        <f>IF(B16="","",(B15-B16))</f>
        <v/>
      </c>
      <c r="I16" s="1752">
        <f>IF(K16="","",24*(A16-A15))</f>
        <v/>
      </c>
      <c r="J16" s="1745" t="n"/>
      <c r="K16" s="1746" t="n"/>
      <c r="L16" s="1739" t="n"/>
      <c r="M16" s="1747" t="n"/>
      <c r="N16" s="1748" t="n"/>
      <c r="O16" s="1739" t="n"/>
      <c r="P16" s="1747" t="n"/>
      <c r="Q16" s="1747" t="n"/>
      <c r="R16" s="1747" t="n"/>
      <c r="S16" s="1747" t="n"/>
      <c r="T16" s="1748" t="n"/>
      <c r="U16" s="1739" t="n"/>
      <c r="V16" s="1748" t="n"/>
    </row>
    <row r="17" ht="14.25" customHeight="1" s="1339">
      <c r="A17" s="1737">
        <f>+J17-$J$13+K17/24-$K$13/24</f>
        <v/>
      </c>
      <c r="B17" s="1738" t="n"/>
      <c r="C17" s="1739" t="n"/>
      <c r="D17" s="1739" t="n"/>
      <c r="E17" s="1740" t="n"/>
      <c r="F17" s="1749" t="n"/>
      <c r="G17" s="1750">
        <f>IF(K17="","",(B17-F17)/(H17+0.000001)*I17)</f>
        <v/>
      </c>
      <c r="H17" s="1751">
        <f>IF(B17="","",(B16-B17))</f>
        <v/>
      </c>
      <c r="I17" s="1752">
        <f>IF(K17="","",24*(A17-A16))</f>
        <v/>
      </c>
      <c r="J17" s="1745" t="n"/>
      <c r="K17" s="1746" t="n"/>
      <c r="L17" s="1739" t="n"/>
      <c r="M17" s="1747" t="n"/>
      <c r="N17" s="1748" t="n"/>
      <c r="O17" s="1739" t="n"/>
      <c r="P17" s="1747" t="n"/>
      <c r="Q17" s="1747" t="n"/>
      <c r="R17" s="1747" t="n"/>
      <c r="S17" s="1747" t="n"/>
      <c r="T17" s="1748" t="n"/>
      <c r="U17" s="1739" t="n"/>
      <c r="V17" s="1748" t="n"/>
    </row>
    <row r="18" ht="14.25" customHeight="1" s="1339">
      <c r="A18" s="1737">
        <f>+J18-$J$13+K18/24-$K$13/24</f>
        <v/>
      </c>
      <c r="B18" s="1738" t="n"/>
      <c r="C18" s="1739" t="n"/>
      <c r="D18" s="1739" t="n"/>
      <c r="E18" s="1740" t="n"/>
      <c r="F18" s="1749" t="n"/>
      <c r="G18" s="1750">
        <f>IF(K18="","",(B18-F18)/(H18+0.000001)*I18)</f>
        <v/>
      </c>
      <c r="H18" s="1751">
        <f>IF(B18="","",(B17-B18))</f>
        <v/>
      </c>
      <c r="I18" s="1752">
        <f>IF(K18="","",24*(A18-A17))</f>
        <v/>
      </c>
      <c r="J18" s="1745" t="n"/>
      <c r="K18" s="1746" t="n"/>
      <c r="L18" s="1739" t="n"/>
      <c r="M18" s="1747" t="n"/>
      <c r="N18" s="1748" t="n"/>
      <c r="O18" s="1739" t="n"/>
      <c r="P18" s="1747" t="n"/>
      <c r="Q18" s="1747" t="n"/>
      <c r="R18" s="1747" t="n"/>
      <c r="S18" s="1747" t="n"/>
      <c r="T18" s="1748" t="n"/>
      <c r="U18" s="1739" t="n"/>
      <c r="V18" s="1748" t="n"/>
    </row>
    <row r="19" ht="12.75" customHeight="1" s="1339">
      <c r="A19" s="1737">
        <f>+J19-$J$13+K19/24-$K$13/24</f>
        <v/>
      </c>
      <c r="B19" s="1738" t="n"/>
      <c r="C19" s="1739" t="n"/>
      <c r="D19" s="1739" t="n"/>
      <c r="E19" s="1740" t="n"/>
      <c r="F19" s="1749" t="n"/>
      <c r="G19" s="1750">
        <f>IF(K19="","",(B19-F19)/(H19+0.000001)*I19)</f>
        <v/>
      </c>
      <c r="H19" s="1751">
        <f>IF(B19="","",(B18-B19))</f>
        <v/>
      </c>
      <c r="I19" s="1752">
        <f>IF(K19="","",24*(A19-A18))</f>
        <v/>
      </c>
      <c r="J19" s="1745" t="n"/>
      <c r="K19" s="1746" t="n"/>
      <c r="L19" s="1739" t="n"/>
      <c r="M19" s="1747" t="n"/>
      <c r="N19" s="1748" t="n"/>
      <c r="O19" s="1739" t="n"/>
      <c r="P19" s="1747" t="n"/>
      <c r="Q19" s="1747" t="n"/>
      <c r="R19" s="1747" t="n"/>
      <c r="S19" s="1747" t="n"/>
      <c r="T19" s="1748" t="n"/>
      <c r="U19" s="1739" t="n"/>
      <c r="V19" s="1748" t="n"/>
      <c r="W19" s="1753" t="n"/>
      <c r="X19" s="1753" t="n"/>
      <c r="Y19" s="1753" t="n"/>
    </row>
    <row r="20" ht="14.25" customHeight="1" s="1339">
      <c r="A20" s="1737">
        <f>+J20-$J$13+K20/24-$K$13/24</f>
        <v/>
      </c>
      <c r="B20" s="1738" t="n"/>
      <c r="C20" s="1739" t="n"/>
      <c r="D20" s="1739" t="n"/>
      <c r="E20" s="1740" t="n"/>
      <c r="F20" s="1749" t="n"/>
      <c r="G20" s="1750">
        <f>IF(K20="","",(B20-F20)/(H20+0.000001)*I20)</f>
        <v/>
      </c>
      <c r="H20" s="1751">
        <f>IF(B20="","",(B19-B20))</f>
        <v/>
      </c>
      <c r="I20" s="1752">
        <f>IF(K20="","",24*(A20-A19))</f>
        <v/>
      </c>
      <c r="J20" s="1745" t="n"/>
      <c r="K20" s="1746" t="n"/>
      <c r="L20" s="1739" t="n"/>
      <c r="M20" s="1747" t="n"/>
      <c r="N20" s="1748" t="n"/>
      <c r="O20" s="1739" t="n"/>
      <c r="P20" s="1747" t="n"/>
      <c r="Q20" s="1747" t="n"/>
      <c r="R20" s="1747" t="n"/>
      <c r="S20" s="1747" t="n"/>
      <c r="T20" s="1748" t="n"/>
      <c r="U20" s="1739" t="n"/>
      <c r="V20" s="1748" t="n"/>
      <c r="W20" s="1754" t="n"/>
      <c r="X20" s="1753" t="n"/>
      <c r="Y20" s="1753" t="n"/>
    </row>
    <row r="21" ht="14.25" customHeight="1" s="1339">
      <c r="A21" s="1737">
        <f>+J21-$J$13+K21/24-$K$13/24</f>
        <v/>
      </c>
      <c r="B21" s="1738" t="n"/>
      <c r="C21" s="1739" t="n"/>
      <c r="D21" s="1739" t="n"/>
      <c r="E21" s="1740" t="n"/>
      <c r="F21" s="1749" t="n"/>
      <c r="G21" s="1750">
        <f>IF(K21="","",(B21-F21)/(H21+0.000001)*I21)</f>
        <v/>
      </c>
      <c r="H21" s="1751">
        <f>IF(B21="","",(B20-B21))</f>
        <v/>
      </c>
      <c r="I21" s="1752">
        <f>IF(K21="","",24*(A21-A20))</f>
        <v/>
      </c>
      <c r="J21" s="1745" t="n"/>
      <c r="K21" s="1746" t="n"/>
      <c r="L21" s="1739" t="n"/>
      <c r="M21" s="1747" t="n"/>
      <c r="N21" s="1748" t="n"/>
      <c r="O21" s="1739" t="n"/>
      <c r="P21" s="1747" t="n"/>
      <c r="Q21" s="1747" t="n"/>
      <c r="R21" s="1747" t="n"/>
      <c r="S21" s="1747" t="n"/>
      <c r="T21" s="1748" t="n"/>
      <c r="U21" s="1739" t="n"/>
      <c r="V21" s="1748" t="n"/>
      <c r="W21" s="1754" t="n"/>
      <c r="X21" s="1753" t="n"/>
      <c r="Y21" s="1753" t="n"/>
    </row>
    <row r="22" ht="14.25" customHeight="1" s="1339">
      <c r="A22" s="1737">
        <f>+J22-$J$13+K22/24-$K$13/24</f>
        <v/>
      </c>
      <c r="B22" s="1738" t="n"/>
      <c r="C22" s="1739" t="n"/>
      <c r="D22" s="1739" t="n"/>
      <c r="E22" s="1740" t="n"/>
      <c r="F22" s="1749" t="n"/>
      <c r="G22" s="1750">
        <f>IF(K22="","",(B22-F22)/(H22+0.000001)*I22)</f>
        <v/>
      </c>
      <c r="H22" s="1751">
        <f>IF(B22="","",(B21-B22))</f>
        <v/>
      </c>
      <c r="I22" s="1752">
        <f>IF(K22="","",24*(A22-A21))</f>
        <v/>
      </c>
      <c r="J22" s="1745" t="n"/>
      <c r="K22" s="1746" t="n"/>
      <c r="L22" s="1739" t="n"/>
      <c r="M22" s="1747" t="n"/>
      <c r="N22" s="1748" t="n"/>
      <c r="O22" s="1739" t="n"/>
      <c r="P22" s="1747" t="n"/>
      <c r="Q22" s="1747" t="n"/>
      <c r="R22" s="1747" t="n"/>
      <c r="S22" s="1747" t="n"/>
      <c r="T22" s="1748" t="n"/>
      <c r="U22" s="1739" t="n"/>
      <c r="V22" s="1748" t="n"/>
      <c r="W22" s="1755" t="n"/>
      <c r="X22" s="1753" t="n"/>
      <c r="Y22" s="1753" t="n"/>
    </row>
    <row r="23" ht="12.75" customHeight="1" s="1339">
      <c r="A23" s="1737">
        <f>+J23-$J$13+K23/24-$K$13/24</f>
        <v/>
      </c>
      <c r="B23" s="1738" t="n"/>
      <c r="C23" s="1739" t="n"/>
      <c r="D23" s="1739" t="n"/>
      <c r="E23" s="1740" t="n"/>
      <c r="F23" s="1749" t="n"/>
      <c r="G23" s="1750">
        <f>IF(K23="","",(B23-F23)/(H23+0.000001)*I23)</f>
        <v/>
      </c>
      <c r="H23" s="1751">
        <f>IF(B23="","",(B22-B23))</f>
        <v/>
      </c>
      <c r="I23" s="1752">
        <f>IF(K23="","",24*(A23-A22))</f>
        <v/>
      </c>
      <c r="J23" s="1745" t="n"/>
      <c r="K23" s="1746" t="n"/>
      <c r="L23" s="1739" t="n"/>
      <c r="M23" s="1747" t="n"/>
      <c r="N23" s="1748" t="n"/>
      <c r="O23" s="1739">
        <f>IF('Recept-voorblad'!I91="-","-",'Recept-voorblad'!E91&amp;" "&amp;'Recept-voorblad'!A91&amp;" @"&amp;'Recept-voorblad'!I91)</f>
        <v/>
      </c>
      <c r="P23" s="1747" t="n"/>
      <c r="Q23" s="1747" t="n"/>
      <c r="R23" s="1747" t="n"/>
      <c r="S23" s="1747" t="n"/>
      <c r="T23" s="1748" t="n"/>
      <c r="U23" s="1739" t="n"/>
      <c r="V23" s="1748" t="n"/>
      <c r="W23" s="1754" t="n"/>
      <c r="X23" s="1753" t="n"/>
      <c r="Y23" s="1753" t="n"/>
    </row>
    <row r="24" ht="12.75" customHeight="1" s="1339">
      <c r="A24" s="1737">
        <f>+J24-$J$13+K24/24-$K$13/24</f>
        <v/>
      </c>
      <c r="B24" s="1738" t="n"/>
      <c r="C24" s="1739" t="n"/>
      <c r="D24" s="1739" t="n"/>
      <c r="E24" s="1740" t="n"/>
      <c r="F24" s="1749" t="n"/>
      <c r="G24" s="1750">
        <f>IF(K24="","",(B24-F24)/(H24+0.000001)*I24)</f>
        <v/>
      </c>
      <c r="H24" s="1751">
        <f>IF(B24="","",(B23-B24))</f>
        <v/>
      </c>
      <c r="I24" s="1752">
        <f>IF(K24="","",24*(A24-A23))</f>
        <v/>
      </c>
      <c r="J24" s="1745" t="n"/>
      <c r="K24" s="1746" t="n"/>
      <c r="L24" s="1739" t="n"/>
      <c r="M24" s="1747" t="n"/>
      <c r="N24" s="1748" t="n"/>
      <c r="O24" s="1739">
        <f>IF('Recept-voorblad'!I92="-","-",'Recept-voorblad'!E92&amp;" "&amp;'Recept-voorblad'!A92&amp;" @"&amp;'Recept-voorblad'!I92)</f>
        <v/>
      </c>
      <c r="P24" s="1747" t="n"/>
      <c r="Q24" s="1747" t="n"/>
      <c r="R24" s="1747" t="n"/>
      <c r="S24" s="1747" t="n"/>
      <c r="T24" s="1748" t="n"/>
      <c r="U24" s="1739" t="n"/>
      <c r="V24" s="1748" t="n"/>
      <c r="W24" s="1754" t="n"/>
      <c r="X24" s="1753" t="n"/>
      <c r="Y24" s="1753" t="n"/>
    </row>
    <row r="25" ht="12.75" customHeight="1" s="1339">
      <c r="A25" s="1737">
        <f>+J25-$J$13+K25/24-$K$13/24</f>
        <v/>
      </c>
      <c r="B25" s="1738" t="n"/>
      <c r="C25" s="1739" t="n"/>
      <c r="D25" s="1739" t="n"/>
      <c r="E25" s="1740" t="n"/>
      <c r="F25" s="1749" t="n"/>
      <c r="G25" s="1750">
        <f>IF(K25="","",(B25-F25)/(H25+0.000001)*I25)</f>
        <v/>
      </c>
      <c r="H25" s="1751">
        <f>IF(B25="","",(B24-B25))</f>
        <v/>
      </c>
      <c r="I25" s="1752">
        <f>IF(K25="","",24*(A25-A24))</f>
        <v/>
      </c>
      <c r="J25" s="1745" t="n"/>
      <c r="K25" s="1746" t="n"/>
      <c r="L25" s="1739" t="n"/>
      <c r="M25" s="1747" t="n"/>
      <c r="N25" s="1748" t="n"/>
      <c r="O25" s="1739">
        <f>IF('Recept-voorblad'!I93="-","-",'Recept-voorblad'!E93&amp;" "&amp;'Recept-voorblad'!A93&amp;" @"&amp;'Recept-voorblad'!I93)</f>
        <v/>
      </c>
      <c r="P25" s="1747" t="n"/>
      <c r="Q25" s="1747" t="n"/>
      <c r="R25" s="1747" t="n"/>
      <c r="S25" s="1747" t="n"/>
      <c r="T25" s="1748" t="n"/>
      <c r="U25" s="1739" t="n"/>
      <c r="V25" s="1748" t="n"/>
      <c r="W25" s="1753" t="n"/>
      <c r="X25" s="1753" t="n"/>
      <c r="Y25" s="1753" t="n"/>
    </row>
    <row r="26" ht="12.75" customHeight="1" s="1339">
      <c r="A26" s="1737">
        <f>+J26-$J$13+K26/24-$K$13/24</f>
        <v/>
      </c>
      <c r="B26" s="1738" t="n"/>
      <c r="C26" s="1739" t="n"/>
      <c r="D26" s="1739" t="n"/>
      <c r="E26" s="1740" t="n"/>
      <c r="F26" s="1749" t="n"/>
      <c r="G26" s="1750">
        <f>IF(K26="","",(B26-F26)/(H26+0.000001)*I26)</f>
        <v/>
      </c>
      <c r="H26" s="1751">
        <f>IF(B26="","",(B25-B26))</f>
        <v/>
      </c>
      <c r="I26" s="1752">
        <f>IF(K26="","",24*(A26-A25))</f>
        <v/>
      </c>
      <c r="J26" s="1745" t="n"/>
      <c r="K26" s="1746" t="n"/>
      <c r="L26" s="1739" t="n"/>
      <c r="M26" s="1747" t="n"/>
      <c r="N26" s="1748" t="n"/>
      <c r="O26" s="1739">
        <f>IF('Recept-voorblad'!I94="-","-",'Recept-voorblad'!E94&amp;" "&amp;'Recept-voorblad'!A94&amp;" @"&amp;'Recept-voorblad'!I94)</f>
        <v/>
      </c>
      <c r="P26" s="1747" t="n"/>
      <c r="Q26" s="1747" t="n"/>
      <c r="R26" s="1747" t="n"/>
      <c r="S26" s="1747" t="n"/>
      <c r="T26" s="1748" t="n"/>
      <c r="U26" s="1739" t="n"/>
      <c r="V26" s="1748" t="n"/>
    </row>
    <row r="27" ht="12.75" customHeight="1" s="1339">
      <c r="A27" s="1737">
        <f>+J27-$J$13+K27/24-$K$13/24</f>
        <v/>
      </c>
      <c r="B27" s="1738" t="n"/>
      <c r="C27" s="1739" t="n"/>
      <c r="D27" s="1739" t="n"/>
      <c r="E27" s="1740" t="n"/>
      <c r="F27" s="1749" t="n"/>
      <c r="G27" s="1750">
        <f>IF(K27="","",(B27-F27)/(H27+0.000001)*I27)</f>
        <v/>
      </c>
      <c r="H27" s="1751">
        <f>IF(B27="","",(B26-B27))</f>
        <v/>
      </c>
      <c r="I27" s="1752">
        <f>IF(K27="","",24*(A27-A26))</f>
        <v/>
      </c>
      <c r="J27" s="1745" t="n"/>
      <c r="K27" s="1746" t="n"/>
      <c r="L27" s="1739" t="n"/>
      <c r="M27" s="1747" t="n"/>
      <c r="N27" s="1748" t="n"/>
      <c r="O27" s="1739">
        <f>IF('Recept-voorblad'!I95="-","-",'Recept-voorblad'!E95&amp;" "&amp;'Recept-voorblad'!A95&amp;" @"&amp;'Recept-voorblad'!I95)</f>
        <v/>
      </c>
      <c r="P27" s="1747" t="n"/>
      <c r="Q27" s="1747" t="n"/>
      <c r="R27" s="1747" t="n"/>
      <c r="S27" s="1747" t="n"/>
      <c r="T27" s="1748" t="n"/>
      <c r="U27" s="1739" t="n"/>
      <c r="V27" s="1748" t="n"/>
    </row>
    <row r="28" ht="12.75" customHeight="1" s="1339">
      <c r="A28" s="1737">
        <f>+J28-$J$13+K28/24-$K$13/24</f>
        <v/>
      </c>
      <c r="B28" s="1738" t="n"/>
      <c r="C28" s="1739" t="n"/>
      <c r="D28" s="1739" t="n"/>
      <c r="E28" s="1740" t="n"/>
      <c r="F28" s="1749" t="n"/>
      <c r="G28" s="1750">
        <f>IF(K28="","",(B28-F28)/(H28+0.000001)*I28)</f>
        <v/>
      </c>
      <c r="H28" s="1751">
        <f>IF(B28="","",(B27-B28))</f>
        <v/>
      </c>
      <c r="I28" s="1752">
        <f>IF(K28="","",24*(A28-A27))</f>
        <v/>
      </c>
      <c r="J28" s="1745" t="n"/>
      <c r="K28" s="1746" t="n"/>
      <c r="L28" s="1739" t="n"/>
      <c r="M28" s="1747" t="n"/>
      <c r="N28" s="1748" t="n"/>
      <c r="O28" s="1739" t="n"/>
      <c r="P28" s="1747" t="n"/>
      <c r="Q28" s="1747" t="n"/>
      <c r="R28" s="1747" t="n"/>
      <c r="S28" s="1747" t="n"/>
      <c r="T28" s="1748" t="n"/>
      <c r="U28" s="1739" t="n"/>
      <c r="V28" s="1748" t="n"/>
    </row>
    <row r="29" ht="12.75" customHeight="1" s="1339">
      <c r="A29" s="1737">
        <f>+J29-$J$13+K29/24-$K$13/24</f>
        <v/>
      </c>
      <c r="B29" s="1738" t="n"/>
      <c r="C29" s="1739" t="n"/>
      <c r="D29" s="1739" t="n"/>
      <c r="E29" s="1740" t="n"/>
      <c r="F29" s="1749" t="n"/>
      <c r="G29" s="1750">
        <f>IF(K29="","",(B29-F29)/(H29+0.000001)*I29)</f>
        <v/>
      </c>
      <c r="H29" s="1751">
        <f>IF(B29="","",(B28-B29))</f>
        <v/>
      </c>
      <c r="I29" s="1752">
        <f>IF(K29="","",24*(A29-A28))</f>
        <v/>
      </c>
      <c r="J29" s="1745" t="n"/>
      <c r="K29" s="1746" t="n"/>
      <c r="L29" s="1739" t="n"/>
      <c r="M29" s="1747" t="n"/>
      <c r="N29" s="1748" t="n"/>
      <c r="O29" s="1739" t="n"/>
      <c r="P29" s="1747" t="n"/>
      <c r="Q29" s="1747" t="n"/>
      <c r="R29" s="1747" t="n"/>
      <c r="S29" s="1747" t="n"/>
      <c r="T29" s="1748" t="n"/>
      <c r="U29" s="1739" t="n"/>
      <c r="V29" s="1748" t="n"/>
    </row>
    <row r="30" ht="12.75" customHeight="1" s="1339">
      <c r="A30" s="1737">
        <f>+J30-$J$13+K30/24-$K$13/24</f>
        <v/>
      </c>
      <c r="B30" s="1738" t="n"/>
      <c r="C30" s="1739" t="n"/>
      <c r="D30" s="1739" t="n"/>
      <c r="E30" s="1740" t="n"/>
      <c r="F30" s="1749" t="n"/>
      <c r="G30" s="1750">
        <f>IF(K30="","",(B30-F30)/(H30+0.000001)*I30)</f>
        <v/>
      </c>
      <c r="H30" s="1751">
        <f>IF(B30="","",(B29-B30))</f>
        <v/>
      </c>
      <c r="I30" s="1752">
        <f>IF(K30="","",24*(A30-A29))</f>
        <v/>
      </c>
      <c r="J30" s="1745" t="n"/>
      <c r="K30" s="1746" t="n"/>
      <c r="L30" s="1739" t="n"/>
      <c r="M30" s="1747" t="n"/>
      <c r="N30" s="1748" t="n"/>
      <c r="O30" s="1739" t="n"/>
      <c r="P30" s="1747" t="n"/>
      <c r="Q30" s="1747" t="n"/>
      <c r="R30" s="1747" t="n"/>
      <c r="S30" s="1747" t="n"/>
      <c r="T30" s="1748" t="n"/>
      <c r="U30" s="1739" t="n"/>
      <c r="V30" s="1748" t="n"/>
    </row>
    <row r="31" ht="12.75" customHeight="1" s="1339">
      <c r="A31" s="1737">
        <f>+J31-$J$13+K31/24-$K$13/24</f>
        <v/>
      </c>
      <c r="B31" s="1738" t="n"/>
      <c r="C31" s="1739" t="n"/>
      <c r="D31" s="1739" t="n"/>
      <c r="E31" s="1740" t="n"/>
      <c r="F31" s="1749" t="n"/>
      <c r="G31" s="1750">
        <f>IF(K31="","",(B31-F31)/(H31+0.000001)*I31)</f>
        <v/>
      </c>
      <c r="H31" s="1751">
        <f>IF(B31="","",(B30-B31))</f>
        <v/>
      </c>
      <c r="I31" s="1752">
        <f>IF(K31="","",24*(A31-A30))</f>
        <v/>
      </c>
      <c r="J31" s="1745" t="n"/>
      <c r="K31" s="1746" t="n"/>
      <c r="L31" s="1739" t="n"/>
      <c r="M31" s="1747" t="n"/>
      <c r="N31" s="1748" t="n"/>
      <c r="O31" s="1739" t="n"/>
      <c r="P31" s="1747" t="n"/>
      <c r="Q31" s="1747" t="n"/>
      <c r="R31" s="1747" t="n"/>
      <c r="S31" s="1747" t="n"/>
      <c r="T31" s="1748" t="n"/>
      <c r="U31" s="1739" t="n"/>
      <c r="V31" s="1748" t="n"/>
    </row>
    <row r="32" ht="12.75" customHeight="1" s="1339">
      <c r="A32" s="1737">
        <f>+J32-$J$13+K32/24-$K$13/24</f>
        <v/>
      </c>
      <c r="B32" s="1738" t="n"/>
      <c r="C32" s="1739" t="n"/>
      <c r="D32" s="1739" t="n"/>
      <c r="E32" s="1740" t="n"/>
      <c r="F32" s="1749" t="n"/>
      <c r="G32" s="1750">
        <f>IF(K32="","",(B32-F32)/(H32+0.000001)*I32)</f>
        <v/>
      </c>
      <c r="H32" s="1751">
        <f>IF(B32="","",(B31-B32))</f>
        <v/>
      </c>
      <c r="I32" s="1752">
        <f>IF(K32="","",24*(A32-A31))</f>
        <v/>
      </c>
      <c r="J32" s="1745" t="n"/>
      <c r="K32" s="1746" t="n"/>
      <c r="L32" s="1739" t="n"/>
      <c r="M32" s="1747" t="n"/>
      <c r="N32" s="1748" t="n"/>
      <c r="O32" s="1739" t="n"/>
      <c r="P32" s="1747" t="n"/>
      <c r="Q32" s="1747" t="n"/>
      <c r="R32" s="1747" t="n"/>
      <c r="S32" s="1747" t="n"/>
      <c r="T32" s="1748" t="n"/>
      <c r="U32" s="1739" t="n"/>
      <c r="V32" s="1748" t="n"/>
    </row>
    <row r="33" ht="12.75" customHeight="1" s="1339">
      <c r="A33" s="1737">
        <f>+J33-$J$13+K33/24-$K$13/24</f>
        <v/>
      </c>
      <c r="B33" s="1738" t="n"/>
      <c r="C33" s="1739" t="n"/>
      <c r="D33" s="1739" t="n"/>
      <c r="E33" s="1740" t="n"/>
      <c r="F33" s="1749" t="n"/>
      <c r="G33" s="1750">
        <f>IF(K33="","",(B33-F33)/(H33+0.000001)*I33)</f>
        <v/>
      </c>
      <c r="H33" s="1751">
        <f>IF(B33="","",(B32-B33))</f>
        <v/>
      </c>
      <c r="I33" s="1752">
        <f>IF(K33="","",24*(A33-A32))</f>
        <v/>
      </c>
      <c r="J33" s="1745" t="n"/>
      <c r="K33" s="1746" t="n"/>
      <c r="L33" s="1739" t="n"/>
      <c r="M33" s="1747" t="n"/>
      <c r="N33" s="1748" t="n"/>
      <c r="O33" s="1739" t="n"/>
      <c r="P33" s="1747" t="n"/>
      <c r="Q33" s="1747" t="n"/>
      <c r="R33" s="1747" t="n"/>
      <c r="S33" s="1747" t="n"/>
      <c r="T33" s="1748" t="n"/>
      <c r="U33" s="1739" t="n"/>
      <c r="V33" s="1748" t="n"/>
    </row>
    <row r="34" ht="12.75" customHeight="1" s="1339">
      <c r="A34" s="1737">
        <f>+J34-$J$13+K34/24-$K$13/24</f>
        <v/>
      </c>
      <c r="B34" s="1738" t="n"/>
      <c r="C34" s="1739" t="n"/>
      <c r="D34" s="1739" t="n"/>
      <c r="E34" s="1740" t="n"/>
      <c r="F34" s="1749" t="n"/>
      <c r="G34" s="1750">
        <f>IF(K34="","",(B34-F34)/(H34+0.000001)*I34)</f>
        <v/>
      </c>
      <c r="H34" s="1751">
        <f>IF(B34="","",(B33-B34))</f>
        <v/>
      </c>
      <c r="I34" s="1752">
        <f>IF(K34="","",24*(A34-A33))</f>
        <v/>
      </c>
      <c r="J34" s="1745" t="n"/>
      <c r="K34" s="1746" t="n"/>
      <c r="L34" s="1739" t="n"/>
      <c r="M34" s="1747" t="n"/>
      <c r="N34" s="1748" t="n"/>
      <c r="O34" s="1739" t="n"/>
      <c r="P34" s="1747" t="n"/>
      <c r="Q34" s="1747" t="n"/>
      <c r="R34" s="1747" t="n"/>
      <c r="S34" s="1747" t="n"/>
      <c r="T34" s="1748" t="n"/>
      <c r="U34" s="1739" t="n"/>
      <c r="V34" s="1748" t="n"/>
    </row>
    <row r="35" ht="12.75" customHeight="1" s="1339">
      <c r="A35" s="1737">
        <f>+J35-$J$13+K35/24-$K$13/24</f>
        <v/>
      </c>
      <c r="B35" s="1738" t="n"/>
      <c r="C35" s="1739" t="n"/>
      <c r="D35" s="1739" t="n"/>
      <c r="E35" s="1740" t="n"/>
      <c r="F35" s="1749" t="n"/>
      <c r="G35" s="1750">
        <f>IF(K35="","",(B35-F35)/(H35+0.000001)*I35)</f>
        <v/>
      </c>
      <c r="H35" s="1751">
        <f>IF(B35="","",(B34-B35))</f>
        <v/>
      </c>
      <c r="I35" s="1752">
        <f>IF(K35="","",24*(A35-A34))</f>
        <v/>
      </c>
      <c r="J35" s="1745" t="n"/>
      <c r="K35" s="1746" t="n"/>
      <c r="L35" s="1739" t="n"/>
      <c r="M35" s="1747" t="n"/>
      <c r="N35" s="1748" t="n"/>
      <c r="O35" s="1739" t="n"/>
      <c r="P35" s="1747" t="n"/>
      <c r="Q35" s="1747" t="n"/>
      <c r="R35" s="1747" t="n"/>
      <c r="S35" s="1747" t="n"/>
      <c r="T35" s="1748" t="n"/>
      <c r="U35" s="1739" t="n"/>
      <c r="V35" s="1748" t="n"/>
    </row>
    <row r="36" ht="12.75" customHeight="1" s="1339">
      <c r="A36" s="1737">
        <f>+J36-$J$13+K36/24-$K$13/24</f>
        <v/>
      </c>
      <c r="B36" s="1738" t="n"/>
      <c r="C36" s="1739" t="n"/>
      <c r="D36" s="1739" t="n"/>
      <c r="E36" s="1740" t="n"/>
      <c r="F36" s="1749" t="n"/>
      <c r="G36" s="1750">
        <f>IF(K36="","",(B36-F36)/(H36+0.000001)*I36)</f>
        <v/>
      </c>
      <c r="H36" s="1751">
        <f>IF(B36="","",(B35-B36))</f>
        <v/>
      </c>
      <c r="I36" s="1752">
        <f>IF(K36="","",24*(A36-A35))</f>
        <v/>
      </c>
      <c r="J36" s="1745" t="n"/>
      <c r="K36" s="1746" t="n"/>
      <c r="L36" s="1739" t="n"/>
      <c r="M36" s="1747" t="n"/>
      <c r="N36" s="1748" t="n"/>
      <c r="O36" s="1739" t="n"/>
      <c r="P36" s="1747" t="n"/>
      <c r="Q36" s="1747" t="n"/>
      <c r="R36" s="1747" t="n"/>
      <c r="S36" s="1747" t="n"/>
      <c r="T36" s="1748" t="n"/>
      <c r="U36" s="1739" t="n"/>
      <c r="V36" s="1748" t="n"/>
    </row>
    <row r="37" ht="12.75" customHeight="1" s="1339">
      <c r="A37" s="1737">
        <f>+J37-$J$13+K37/24-$K$13/24</f>
        <v/>
      </c>
      <c r="B37" s="1738" t="n"/>
      <c r="C37" s="1739" t="n"/>
      <c r="D37" s="1739" t="n"/>
      <c r="E37" s="1740" t="n"/>
      <c r="F37" s="1749" t="n"/>
      <c r="G37" s="1750">
        <f>IF(K37="","",(B37-F37)/(H37+0.000001)*I37)</f>
        <v/>
      </c>
      <c r="H37" s="1751">
        <f>IF(B37="","",(B36-B37))</f>
        <v/>
      </c>
      <c r="I37" s="1752">
        <f>IF(K37="","",24*(A37-A36))</f>
        <v/>
      </c>
      <c r="J37" s="1745" t="n"/>
      <c r="K37" s="1746" t="n"/>
      <c r="L37" s="1739" t="n"/>
      <c r="M37" s="1747" t="n"/>
      <c r="N37" s="1748" t="n"/>
      <c r="O37" s="1739" t="n"/>
      <c r="P37" s="1747" t="n"/>
      <c r="Q37" s="1747" t="n"/>
      <c r="R37" s="1747" t="n"/>
      <c r="S37" s="1747" t="n"/>
      <c r="T37" s="1748" t="n"/>
      <c r="U37" s="1739" t="n"/>
      <c r="V37" s="1748" t="n"/>
    </row>
    <row r="38" ht="15.75" customHeight="1" s="1339">
      <c r="A38" s="1737">
        <f>+J38-$J$13+K38/24-$K$13/24</f>
        <v/>
      </c>
      <c r="B38" s="1738" t="n"/>
      <c r="C38" s="1739" t="n"/>
      <c r="D38" s="1739" t="n"/>
      <c r="E38" s="1740" t="n"/>
      <c r="F38" s="1749" t="n"/>
      <c r="G38" s="1750">
        <f>IF(K38="","",(B38-F38)/(H38+0.000001)*I38)</f>
        <v/>
      </c>
      <c r="H38" s="1751">
        <f>IF(B38="","",(B37-B38))</f>
        <v/>
      </c>
      <c r="I38" s="1752">
        <f>IF(K38="","",24*(A38-A37))</f>
        <v/>
      </c>
      <c r="J38" s="1745" t="n"/>
      <c r="K38" s="1746" t="n"/>
      <c r="L38" s="1739" t="n"/>
      <c r="M38" s="1747" t="n"/>
      <c r="N38" s="1748" t="n"/>
      <c r="O38" s="1739" t="n"/>
      <c r="P38" s="1747" t="n"/>
      <c r="Q38" s="1747" t="n"/>
      <c r="R38" s="1747" t="n"/>
      <c r="S38" s="1747" t="n"/>
      <c r="T38" s="1748" t="n"/>
      <c r="U38" s="1739" t="n"/>
      <c r="V38" s="1748" t="n"/>
      <c r="X38" s="1342" t="n"/>
      <c r="Y38" s="1342" t="n"/>
      <c r="Z38" s="1342" t="n"/>
      <c r="AB38" s="1756" t="inlineStr">
        <is>
          <t>datum</t>
        </is>
      </c>
    </row>
    <row r="39" ht="15.75" customHeight="1" s="1339">
      <c r="A39" s="1737">
        <f>+J39-$J$13+K39/24-$K$13/24</f>
        <v/>
      </c>
      <c r="B39" s="1738" t="n"/>
      <c r="C39" s="1739" t="n"/>
      <c r="D39" s="1739" t="n"/>
      <c r="E39" s="1740" t="n"/>
      <c r="F39" s="1749" t="n"/>
      <c r="G39" s="1750">
        <f>IF(K39="","",(B39-F39)/(H39+0.000001)*I39)</f>
        <v/>
      </c>
      <c r="H39" s="1751">
        <f>IF(B39="","",(B38-B39))</f>
        <v/>
      </c>
      <c r="I39" s="1752">
        <f>IF(K39="","",24*(A39-A38))</f>
        <v/>
      </c>
      <c r="J39" s="1745" t="n"/>
      <c r="K39" s="1746" t="n"/>
      <c r="L39" s="1739" t="n"/>
      <c r="M39" s="1747" t="n"/>
      <c r="N39" s="1748" t="n"/>
      <c r="O39" s="1739" t="n"/>
      <c r="P39" s="1747" t="n"/>
      <c r="Q39" s="1747" t="n"/>
      <c r="R39" s="1747" t="n"/>
      <c r="S39" s="1747" t="n"/>
      <c r="T39" s="1748" t="n"/>
      <c r="U39" s="1739" t="n"/>
      <c r="V39" s="1748" t="n"/>
      <c r="X39" s="1757">
        <f>_xlfn.IFNA(IF(AB39&gt;0,"x","-"),"-")</f>
        <v/>
      </c>
      <c r="Y39" s="1342" t="n"/>
      <c r="Z39" s="1758" t="inlineStr">
        <is>
          <t>dry warm</t>
        </is>
      </c>
      <c r="AA39" s="1342" t="n"/>
      <c r="AB39" s="1759">
        <f t="array" ref="AB39:AB39">INDEX(J11:L42,MATCH("*"&amp;Z39&amp;"*",TEXT(L11:L42,0),0),1)</f>
        <v/>
      </c>
    </row>
    <row r="40" ht="15.75" customHeight="1" s="1339">
      <c r="A40" s="1737">
        <f>+J40-$J$13+K40/24-$K$13/24</f>
        <v/>
      </c>
      <c r="B40" s="1738" t="n"/>
      <c r="C40" s="1739" t="n"/>
      <c r="D40" s="1739" t="n"/>
      <c r="E40" s="1740" t="n"/>
      <c r="F40" s="1749" t="n"/>
      <c r="G40" s="1750">
        <f>IF(K40="","",(B40-F40)/(H40+0.000001)*I40)</f>
        <v/>
      </c>
      <c r="H40" s="1751">
        <f>IF(B40="","",(B39-B40))</f>
        <v/>
      </c>
      <c r="I40" s="1752">
        <f>IF(K40="","",24*(A40-A39))</f>
        <v/>
      </c>
      <c r="J40" s="1745" t="n"/>
      <c r="K40" s="1746" t="n"/>
      <c r="L40" s="1739" t="n"/>
      <c r="M40" s="1747" t="n"/>
      <c r="N40" s="1748" t="n"/>
      <c r="O40" s="1739" t="n"/>
      <c r="P40" s="1747" t="n"/>
      <c r="Q40" s="1747" t="n"/>
      <c r="R40" s="1747" t="n"/>
      <c r="S40" s="1747" t="n"/>
      <c r="T40" s="1748" t="n"/>
      <c r="U40" s="1739" t="n"/>
      <c r="V40" s="1748" t="n"/>
      <c r="X40" s="1760" t="n"/>
      <c r="Y40" s="1342" t="n"/>
      <c r="Z40" s="1342" t="n"/>
      <c r="AA40" s="1342" t="n"/>
    </row>
    <row r="41" ht="15.75" customHeight="1" s="1339">
      <c r="A41" s="1737">
        <f>+J41-$J$13+K41/24-$K$13/24</f>
        <v/>
      </c>
      <c r="B41" s="1738" t="n"/>
      <c r="C41" s="1739" t="n"/>
      <c r="D41" s="1739" t="n"/>
      <c r="E41" s="1740" t="n"/>
      <c r="F41" s="1749" t="n"/>
      <c r="G41" s="1750">
        <f>IF(K41="","",(B41-F41)/(H41+0.000001)*I41)</f>
        <v/>
      </c>
      <c r="H41" s="1751">
        <f>IF(B41="","",(B40-B41))</f>
        <v/>
      </c>
      <c r="I41" s="1752">
        <f>IF(K41="","",24*(A41-A40))</f>
        <v/>
      </c>
      <c r="J41" s="1745" t="n"/>
      <c r="K41" s="1746" t="n"/>
      <c r="L41" s="1739" t="n"/>
      <c r="M41" s="1747" t="n"/>
      <c r="N41" s="1748" t="n"/>
      <c r="O41" s="1739" t="n"/>
      <c r="P41" s="1747" t="n"/>
      <c r="Q41" s="1747" t="n"/>
      <c r="R41" s="1747" t="n"/>
      <c r="S41" s="1747" t="n"/>
      <c r="T41" s="1748" t="n"/>
      <c r="U41" s="1739" t="n"/>
      <c r="V41" s="1748" t="n"/>
      <c r="X41" s="1757">
        <f>_xlfn.IFNA(IF(AB41&gt;0,"x","-"),"-")</f>
        <v/>
      </c>
      <c r="Y41" s="1342" t="n"/>
      <c r="Z41" s="1342" t="inlineStr">
        <is>
          <t>dryhopping</t>
        </is>
      </c>
      <c r="AA41" s="1342" t="n"/>
      <c r="AB41" s="1759">
        <f t="array" ref="AB41:AB41">INDEX(J11:L42,MATCH("*"&amp;Z41&amp;"*",TEXT(L11:L42,0),0),1)</f>
        <v/>
      </c>
    </row>
    <row r="42" ht="15.75" customHeight="1" s="1339">
      <c r="A42" s="1737">
        <f>+J42-$J$13+K42/24-$K$13/24</f>
        <v/>
      </c>
      <c r="B42" s="1738" t="n"/>
      <c r="C42" s="1739" t="n"/>
      <c r="D42" s="1739" t="n"/>
      <c r="E42" s="1740" t="n"/>
      <c r="F42" s="1749" t="n"/>
      <c r="G42" s="1750">
        <f>IF(K42="","",(B42-F42)/(H42+0.000001)*I42)</f>
        <v/>
      </c>
      <c r="H42" s="1751">
        <f>IF(B42="","",(B41-B42))</f>
        <v/>
      </c>
      <c r="I42" s="1752">
        <f>IF(K42="","",24*(A42-A41))</f>
        <v/>
      </c>
      <c r="J42" s="1745" t="n"/>
      <c r="K42" s="1746" t="n"/>
      <c r="L42" s="1739" t="n"/>
      <c r="M42" s="1747" t="n"/>
      <c r="N42" s="1748" t="n"/>
      <c r="O42" s="1739" t="n"/>
      <c r="P42" s="1747" t="n"/>
      <c r="Q42" s="1747" t="n"/>
      <c r="R42" s="1747" t="n"/>
      <c r="S42" s="1747" t="n"/>
      <c r="T42" s="1748" t="n"/>
      <c r="U42" s="1739" t="n"/>
      <c r="V42" s="1748" t="n"/>
      <c r="X42" s="1760" t="n"/>
      <c r="Y42" s="1342" t="n"/>
      <c r="Z42" s="1342" t="n"/>
      <c r="AA42" s="1342" t="n"/>
    </row>
    <row r="43" ht="12.75" customHeight="1" s="1339">
      <c r="A43" s="1737">
        <f>+J43-$J$13+K43/24-$K$13/24</f>
        <v/>
      </c>
      <c r="B43" s="1738" t="n"/>
      <c r="C43" s="1739" t="n"/>
      <c r="D43" s="1739" t="n"/>
      <c r="E43" s="1740" t="n"/>
      <c r="F43" s="1749" t="n"/>
      <c r="G43" s="1750">
        <f>IF(K43="","",(B43-F43)/(H43+0.000001)*I43)</f>
        <v/>
      </c>
      <c r="H43" s="1751">
        <f>IF(B43="","",(B42-B43))</f>
        <v/>
      </c>
      <c r="I43" s="1752">
        <f>IF(K43="","",24*(A43-A42))</f>
        <v/>
      </c>
      <c r="J43" s="1745" t="n"/>
      <c r="K43" s="1746" t="n"/>
      <c r="L43" s="1739" t="n"/>
      <c r="M43" s="1747" t="n"/>
      <c r="N43" s="1748" t="n"/>
      <c r="O43" s="1739" t="n"/>
      <c r="P43" s="1747" t="n"/>
      <c r="Q43" s="1747" t="n"/>
      <c r="R43" s="1747" t="n"/>
      <c r="S43" s="1747" t="n"/>
      <c r="T43" s="1748" t="n"/>
      <c r="U43" s="1739" t="n"/>
      <c r="V43" s="1748" t="n"/>
      <c r="X43" s="1757">
        <f>_xlfn.IFNA(IF(AB43&gt;0,"x","-"),"-")</f>
        <v/>
      </c>
      <c r="Y43" s="1342" t="n"/>
      <c r="Z43" s="1342" t="inlineStr">
        <is>
          <t>koelen</t>
        </is>
      </c>
      <c r="AA43" s="1342" t="n"/>
      <c r="AB43" s="1759">
        <f t="array" ref="AB43:AB43">INDEX(J11:L42,MATCH("*"&amp;Z43&amp;"*",TEXT(L11:L42,0),0),1)</f>
        <v/>
      </c>
    </row>
    <row r="44" ht="15.75" customHeight="1" s="1339">
      <c r="A44" s="1737">
        <f>+J44-$J$13+K44/24-$K$13/24</f>
        <v/>
      </c>
      <c r="B44" s="1738" t="n"/>
      <c r="C44" s="1739" t="n"/>
      <c r="D44" s="1739" t="n"/>
      <c r="E44" s="1740" t="n"/>
      <c r="F44" s="1749" t="n"/>
      <c r="G44" s="1750">
        <f>IF(K44="","",(B44-F44)/(H44+0.000001)*I44)</f>
        <v/>
      </c>
      <c r="H44" s="1751">
        <f>IF(B44="","",(B43-B44))</f>
        <v/>
      </c>
      <c r="I44" s="1752">
        <f>IF(K44="","",24*(A44-A43))</f>
        <v/>
      </c>
      <c r="J44" s="1745" t="n"/>
      <c r="K44" s="1746" t="n"/>
      <c r="L44" s="1739" t="n"/>
      <c r="M44" s="1747" t="n"/>
      <c r="N44" s="1748" t="n"/>
      <c r="O44" s="1739" t="n"/>
      <c r="P44" s="1747" t="n"/>
      <c r="Q44" s="1747" t="n"/>
      <c r="R44" s="1747" t="n"/>
      <c r="S44" s="1747" t="n"/>
      <c r="T44" s="1748" t="n"/>
      <c r="U44" s="1739" t="n"/>
      <c r="V44" s="1748" t="n"/>
      <c r="X44" s="1760" t="n"/>
      <c r="Y44" s="1342" t="n"/>
      <c r="Z44" s="1342" t="n"/>
      <c r="AA44" s="1342" t="n"/>
    </row>
    <row r="45" ht="15.75" customHeight="1" s="1339">
      <c r="A45" s="1737">
        <f>+J45-$J$13+K45/24-$K$13/24</f>
        <v/>
      </c>
      <c r="B45" s="1738" t="n"/>
      <c r="C45" s="1739" t="n"/>
      <c r="D45" s="1739" t="n"/>
      <c r="E45" s="1740" t="n"/>
      <c r="F45" s="1749" t="n"/>
      <c r="G45" s="1750">
        <f>IF(K45="","",(B45-F45)/(H45+0.000001)*I45)</f>
        <v/>
      </c>
      <c r="H45" s="1751">
        <f>IF(B45="","",(B44-B45))</f>
        <v/>
      </c>
      <c r="I45" s="1752">
        <f>IF(K45="","",24*(A45-A44))</f>
        <v/>
      </c>
      <c r="J45" s="1745" t="n"/>
      <c r="K45" s="1746" t="n"/>
      <c r="L45" s="1739" t="n"/>
      <c r="M45" s="1747" t="n"/>
      <c r="N45" s="1748" t="n"/>
      <c r="O45" s="1739" t="n"/>
      <c r="P45" s="1747" t="n"/>
      <c r="Q45" s="1747" t="n"/>
      <c r="R45" s="1747" t="n"/>
      <c r="S45" s="1747" t="n"/>
      <c r="T45" s="1748" t="n"/>
      <c r="U45" s="1739" t="n"/>
      <c r="V45" s="1748" t="n"/>
      <c r="X45" s="1757">
        <f>_xlfn.IFNA(IF(AB45&gt;0,"x","-"),"-")</f>
        <v/>
      </c>
      <c r="Y45" s="1342" t="n"/>
      <c r="Z45" s="1342" t="inlineStr">
        <is>
          <t>toevoeging</t>
        </is>
      </c>
      <c r="AA45" s="1342" t="n"/>
      <c r="AB45" s="1759">
        <f t="array" ref="AB45:AB45">INDEX(J11:L42,MATCH("*"&amp;Z45&amp;"*",TEXT(L11:L42,0),0),1)</f>
        <v/>
      </c>
    </row>
    <row r="46" ht="15.75" customHeight="1" s="1339">
      <c r="A46" s="1737">
        <f>+J46-$J$13+K46/24-$K$13/24</f>
        <v/>
      </c>
      <c r="B46" s="1738" t="n"/>
      <c r="C46" s="1739" t="n"/>
      <c r="D46" s="1739" t="n"/>
      <c r="E46" s="1740" t="n"/>
      <c r="F46" s="1749" t="n"/>
      <c r="G46" s="1750">
        <f>IF(K46="","",(B46-F46)/(H46+0.000001)*I46)</f>
        <v/>
      </c>
      <c r="H46" s="1751">
        <f>IF(B46="","",(B45-B46))</f>
        <v/>
      </c>
      <c r="I46" s="1752">
        <f>IF(K46="","",24*(A46-A45))</f>
        <v/>
      </c>
      <c r="J46" s="1745" t="n"/>
      <c r="K46" s="1746" t="n"/>
      <c r="L46" s="1739" t="n"/>
      <c r="M46" s="1747" t="n"/>
      <c r="N46" s="1748" t="n"/>
      <c r="O46" s="1739" t="n"/>
      <c r="P46" s="1747" t="n"/>
      <c r="Q46" s="1747" t="n"/>
      <c r="R46" s="1747" t="n"/>
      <c r="S46" s="1747" t="n"/>
      <c r="T46" s="1748" t="n"/>
      <c r="U46" s="1739" t="n"/>
      <c r="V46" s="1748" t="n"/>
      <c r="X46" s="1760" t="n"/>
      <c r="Y46" s="1342" t="n"/>
      <c r="Z46" s="1342" t="n"/>
      <c r="AA46" s="1342" t="n"/>
    </row>
    <row r="47" ht="15.75" customHeight="1" s="1339">
      <c r="A47" s="1737">
        <f>+J47-$J$13+K47/24-$K$13/24</f>
        <v/>
      </c>
      <c r="B47" s="1738" t="n"/>
      <c r="C47" s="1739" t="n"/>
      <c r="D47" s="1739" t="n"/>
      <c r="E47" s="1740" t="n"/>
      <c r="F47" s="1749" t="n"/>
      <c r="G47" s="1750">
        <f>IF(K47="","",(B47-F47)/(H47+0.000001)*I47)</f>
        <v/>
      </c>
      <c r="H47" s="1751">
        <f>IF(B47="","",(B46-B47))</f>
        <v/>
      </c>
      <c r="I47" s="1752">
        <f>IF(K47="","",24*(A47-A46))</f>
        <v/>
      </c>
      <c r="J47" s="1745" t="n"/>
      <c r="K47" s="1746" t="n"/>
      <c r="L47" s="1739" t="n"/>
      <c r="M47" s="1747" t="n"/>
      <c r="N47" s="1748" t="n"/>
      <c r="O47" s="1739" t="n"/>
      <c r="P47" s="1747" t="n"/>
      <c r="Q47" s="1747" t="n"/>
      <c r="R47" s="1747" t="n"/>
      <c r="S47" s="1747" t="n"/>
      <c r="T47" s="1748" t="n"/>
      <c r="U47" s="1739" t="n"/>
      <c r="V47" s="1748" t="n"/>
      <c r="X47" s="1757">
        <f>_xlfn.IFNA(IF(AB47&gt;0,"x","-"),"-")</f>
        <v/>
      </c>
      <c r="Y47" s="1342" t="n"/>
      <c r="Z47" s="1342" t="inlineStr">
        <is>
          <t>sample naar lab</t>
        </is>
      </c>
      <c r="AA47" s="1342" t="n"/>
      <c r="AB47" s="1759">
        <f t="array" ref="AB47:AB47">INDEX(J13:L44,MATCH("*"&amp;Z47&amp;"*",TEXT(L13:L44,0),0),1)</f>
        <v/>
      </c>
    </row>
    <row r="48" ht="12.75" customHeight="1" s="1339">
      <c r="A48" s="1737">
        <f>+J48-$J$13+K48/24-$K$13/24</f>
        <v/>
      </c>
      <c r="B48" s="1738" t="n"/>
      <c r="C48" s="1739" t="n"/>
      <c r="D48" s="1739" t="n"/>
      <c r="E48" s="1740" t="n"/>
      <c r="F48" s="1749" t="n"/>
      <c r="G48" s="1750">
        <f>IF(K48="","",(B48-F48)/(H48+0.000001)*I48)</f>
        <v/>
      </c>
      <c r="H48" s="1751">
        <f>IF(B48="","",(B47-B48))</f>
        <v/>
      </c>
      <c r="I48" s="1752">
        <f>IF(K48="","",24*(A48-A47))</f>
        <v/>
      </c>
      <c r="J48" s="1745" t="n"/>
      <c r="K48" s="1746" t="n"/>
      <c r="L48" s="1739" t="n"/>
      <c r="M48" s="1747" t="n"/>
      <c r="N48" s="1748" t="n"/>
      <c r="O48" s="1739" t="n"/>
      <c r="P48" s="1747" t="n"/>
      <c r="Q48" s="1747" t="n"/>
      <c r="R48" s="1747" t="n"/>
      <c r="S48" s="1747" t="n"/>
      <c r="T48" s="1748" t="n"/>
      <c r="U48" s="1739" t="n"/>
      <c r="V48" s="1748" t="n"/>
    </row>
    <row r="49" ht="12.75" customHeight="1" s="1339">
      <c r="A49" s="1737">
        <f>+J49-$J$13+K49/24-$K$13/24</f>
        <v/>
      </c>
      <c r="B49" s="1738" t="n"/>
      <c r="C49" s="1739" t="n"/>
      <c r="D49" s="1739" t="n"/>
      <c r="E49" s="1740" t="n"/>
      <c r="F49" s="1749" t="n"/>
      <c r="G49" s="1750">
        <f>IF(K49="","",(B49-F49)/(H49+0.000001)*I49)</f>
        <v/>
      </c>
      <c r="H49" s="1751">
        <f>IF(B49="","",(B48-B49))</f>
        <v/>
      </c>
      <c r="I49" s="1752">
        <f>IF(K49="","",24*(A49-A48))</f>
        <v/>
      </c>
      <c r="J49" s="1745" t="n"/>
      <c r="K49" s="1746" t="n"/>
      <c r="L49" s="1739" t="n"/>
      <c r="M49" s="1747" t="n"/>
      <c r="N49" s="1748" t="n"/>
      <c r="O49" s="1739" t="n"/>
      <c r="P49" s="1747" t="n"/>
      <c r="Q49" s="1747" t="n"/>
      <c r="R49" s="1747" t="n"/>
      <c r="S49" s="1747" t="n"/>
      <c r="T49" s="1748" t="n"/>
      <c r="U49" s="1739" t="n"/>
      <c r="V49" s="1748" t="n"/>
    </row>
    <row r="50" ht="12.75" customHeight="1" s="1339">
      <c r="A50" s="1737">
        <f>+J50-$J$13+K50/24-$K$13/24</f>
        <v/>
      </c>
      <c r="B50" s="1738" t="n"/>
      <c r="C50" s="1739" t="n"/>
      <c r="D50" s="1739" t="n"/>
      <c r="E50" s="1740" t="n"/>
      <c r="F50" s="1749" t="n"/>
      <c r="G50" s="1750">
        <f>IF(K50="","",(B50-F50)/(H50+0.000001)*I50)</f>
        <v/>
      </c>
      <c r="H50" s="1751">
        <f>IF(B50="","",(B49-B50))</f>
        <v/>
      </c>
      <c r="I50" s="1752">
        <f>IF(K50="","",24*(A50-A49))</f>
        <v/>
      </c>
      <c r="J50" s="1745" t="n"/>
      <c r="K50" s="1746" t="n"/>
      <c r="L50" s="1739" t="n"/>
      <c r="M50" s="1747" t="n"/>
      <c r="N50" s="1748" t="n"/>
      <c r="O50" s="1739" t="n"/>
      <c r="P50" s="1747" t="n"/>
      <c r="Q50" s="1747" t="n"/>
      <c r="R50" s="1747" t="n"/>
      <c r="S50" s="1747" t="n"/>
      <c r="T50" s="1748" t="n"/>
      <c r="U50" s="1739" t="n"/>
      <c r="V50" s="1748" t="n"/>
      <c r="X50" s="1761" t="n"/>
      <c r="Y50" s="1761" t="n"/>
      <c r="Z50" s="1761" t="n"/>
      <c r="AA50" s="1761" t="n"/>
      <c r="AB50" s="1761" t="n"/>
      <c r="AC50" s="1761" t="n"/>
      <c r="AD50" s="1761" t="n"/>
    </row>
    <row r="51" ht="12.75" customHeight="1" s="1339">
      <c r="A51" s="1737">
        <f>+J51-$J$13+K51/24-$K$13/24</f>
        <v/>
      </c>
      <c r="B51" s="1738" t="n"/>
      <c r="C51" s="1739" t="n"/>
      <c r="D51" s="1739" t="n"/>
      <c r="E51" s="1740" t="n"/>
      <c r="F51" s="1749" t="n"/>
      <c r="G51" s="1750">
        <f>IF(K51="","",(B51-F51)/(H51+0.000001)*I51)</f>
        <v/>
      </c>
      <c r="H51" s="1751">
        <f>IF(B51="","",(B50-B51))</f>
        <v/>
      </c>
      <c r="I51" s="1752">
        <f>IF(K51="","",24*(A51-A50))</f>
        <v/>
      </c>
      <c r="J51" s="1745" t="n"/>
      <c r="K51" s="1746" t="n"/>
      <c r="L51" s="1739" t="n"/>
      <c r="M51" s="1747" t="n"/>
      <c r="N51" s="1748" t="n"/>
      <c r="O51" s="1739" t="n"/>
      <c r="P51" s="1747" t="n"/>
      <c r="Q51" s="1747" t="n"/>
      <c r="R51" s="1747" t="n"/>
      <c r="S51" s="1747" t="n"/>
      <c r="T51" s="1748" t="n"/>
      <c r="U51" s="1739" t="n"/>
      <c r="V51" s="1748" t="n"/>
      <c r="X51" s="1761" t="n"/>
      <c r="Y51" s="1761" t="n"/>
      <c r="Z51" s="1761" t="n"/>
      <c r="AA51" s="1761" t="n"/>
      <c r="AB51" s="1761" t="n"/>
      <c r="AC51" s="1761" t="n"/>
      <c r="AD51" s="1761" t="n"/>
    </row>
    <row r="52" ht="15" customHeight="1" s="1339">
      <c r="A52" s="1737">
        <f>+J52-$J$13+K52/24-$K$13/24</f>
        <v/>
      </c>
      <c r="B52" s="1738" t="n"/>
      <c r="C52" s="1739" t="n"/>
      <c r="D52" s="1739" t="n"/>
      <c r="E52" s="1740" t="n"/>
      <c r="F52" s="1749" t="n"/>
      <c r="G52" s="1750">
        <f>IF(K52="","",(B52-F52)/(H52+0.000001)*I52)</f>
        <v/>
      </c>
      <c r="H52" s="1751">
        <f>IF(B52="","",(B51-B52))</f>
        <v/>
      </c>
      <c r="I52" s="1752">
        <f>IF(K52="","",24*(A52-A51))</f>
        <v/>
      </c>
      <c r="J52" s="1745" t="n"/>
      <c r="K52" s="1746" t="n"/>
      <c r="L52" s="1739" t="n"/>
      <c r="M52" s="1747" t="n"/>
      <c r="N52" s="1748" t="n"/>
      <c r="O52" s="1739" t="n"/>
      <c r="P52" s="1747" t="n"/>
      <c r="Q52" s="1747" t="n"/>
      <c r="R52" s="1747" t="n"/>
      <c r="S52" s="1747" t="n"/>
      <c r="T52" s="1748" t="n"/>
      <c r="U52" s="1739" t="n"/>
      <c r="V52" s="1748" t="n"/>
      <c r="X52" s="1602" t="n"/>
      <c r="Y52" s="1762" t="inlineStr">
        <is>
          <t>NAGARDO ADD calculator</t>
        </is>
      </c>
      <c r="Z52" s="1763" t="n"/>
      <c r="AA52" s="1763" t="n"/>
      <c r="AB52" s="1159" t="n"/>
      <c r="AC52" s="1761" t="n"/>
      <c r="AD52" s="1761" t="n"/>
    </row>
    <row r="53" ht="15" customHeight="1" s="1339">
      <c r="A53" s="1737">
        <f>+J53-$J$13+K53/24-$K$13/24</f>
        <v/>
      </c>
      <c r="B53" s="1738" t="n"/>
      <c r="C53" s="1739" t="n"/>
      <c r="D53" s="1739" t="n"/>
      <c r="E53" s="1740" t="n"/>
      <c r="F53" s="1749" t="n"/>
      <c r="G53" s="1750">
        <f>IF(K53="","",(B53-F53)/(H53+0.000001)*I53)</f>
        <v/>
      </c>
      <c r="H53" s="1751">
        <f>IF(B53="","",(B52-B53))</f>
        <v/>
      </c>
      <c r="I53" s="1752">
        <f>IF(K53="","",24*(A53-A52))</f>
        <v/>
      </c>
      <c r="J53" s="1745" t="n"/>
      <c r="K53" s="1746" t="n"/>
      <c r="L53" s="1739" t="n"/>
      <c r="M53" s="1747" t="n"/>
      <c r="N53" s="1748" t="n"/>
      <c r="O53" s="1739" t="n"/>
      <c r="P53" s="1747" t="n"/>
      <c r="Q53" s="1747" t="n"/>
      <c r="R53" s="1747" t="n"/>
      <c r="S53" s="1747" t="n"/>
      <c r="T53" s="1748" t="n"/>
      <c r="U53" s="1739" t="n"/>
      <c r="V53" s="1748" t="n"/>
      <c r="X53" s="1602" t="inlineStr">
        <is>
          <t>Batch volume (fill in)</t>
        </is>
      </c>
      <c r="Y53" s="1602" t="n"/>
      <c r="Z53" s="1763" t="n"/>
      <c r="AA53" s="1763">
        <f>'Recept-voorblad'!G7*'Recept-voorblad'!C9*100</f>
        <v/>
      </c>
      <c r="AB53" s="1159" t="inlineStr">
        <is>
          <t>liter</t>
        </is>
      </c>
      <c r="AC53" s="1761" t="n"/>
      <c r="AD53" s="1761" t="n"/>
    </row>
    <row r="54" ht="15" customHeight="1" s="1339">
      <c r="A54" s="1737">
        <f>+J54-$J$13+K54/24-$K$13/24</f>
        <v/>
      </c>
      <c r="B54" s="1738" t="n"/>
      <c r="C54" s="1739" t="n"/>
      <c r="D54" s="1739" t="n"/>
      <c r="E54" s="1740" t="n"/>
      <c r="F54" s="1749" t="n"/>
      <c r="G54" s="1750">
        <f>IF(K54="","",(B54-F54)/(H54+0.000001)*I54)</f>
        <v/>
      </c>
      <c r="H54" s="1751">
        <f>IF(B54="","",(B53-B54))</f>
        <v/>
      </c>
      <c r="I54" s="1752">
        <f>IF(K54="","",24*(A54-A53))</f>
        <v/>
      </c>
      <c r="J54" s="1745" t="n"/>
      <c r="K54" s="1746" t="n"/>
      <c r="L54" s="1739" t="n"/>
      <c r="M54" s="1747" t="n"/>
      <c r="N54" s="1748" t="n"/>
      <c r="O54" s="1739" t="n"/>
      <c r="P54" s="1747" t="n"/>
      <c r="Q54" s="1747" t="n"/>
      <c r="R54" s="1747" t="n"/>
      <c r="S54" s="1747" t="n"/>
      <c r="T54" s="1748" t="n"/>
      <c r="U54" s="1739" t="n"/>
      <c r="V54" s="1748" t="n"/>
      <c r="X54" s="1159" t="inlineStr">
        <is>
          <t>Dosing  (fill in)</t>
        </is>
      </c>
      <c r="Y54" s="1159" t="n"/>
      <c r="Z54" s="1761" t="n"/>
      <c r="AA54" s="1764">
        <f>VLOOKUP("*Nagardo*",'Recept-voorblad'!A91:H93,5,FALSE())</f>
        <v/>
      </c>
      <c r="AB54" s="1159" t="inlineStr">
        <is>
          <t>ppm</t>
        </is>
      </c>
      <c r="AC54" s="1761" t="n"/>
      <c r="AD54" s="1761" t="n"/>
    </row>
    <row r="55" ht="15" customHeight="1" s="1339">
      <c r="A55" s="1737">
        <f>+J55-$J$13+K55/24-$K$13/24</f>
        <v/>
      </c>
      <c r="B55" s="1738" t="n"/>
      <c r="C55" s="1739" t="n"/>
      <c r="D55" s="1739" t="n"/>
      <c r="E55" s="1740" t="n"/>
      <c r="F55" s="1749" t="n"/>
      <c r="G55" s="1750">
        <f>IF(K55="","",(B55-F55)/(H55+0.000001)*I55)</f>
        <v/>
      </c>
      <c r="H55" s="1751">
        <f>IF(B55="","",(B54-B55))</f>
        <v/>
      </c>
      <c r="I55" s="1752">
        <f>IF(K55="","",24*(A55-A54))</f>
        <v/>
      </c>
      <c r="J55" s="1745" t="n"/>
      <c r="K55" s="1746" t="n"/>
      <c r="L55" s="1739" t="n"/>
      <c r="M55" s="1747" t="n"/>
      <c r="N55" s="1748" t="n"/>
      <c r="O55" s="1739" t="n"/>
      <c r="P55" s="1747" t="n"/>
      <c r="Q55" s="1747" t="n"/>
      <c r="R55" s="1747" t="n"/>
      <c r="S55" s="1747" t="n"/>
      <c r="T55" s="1748" t="n"/>
      <c r="U55" s="1739" t="n"/>
      <c r="V55" s="1748" t="n"/>
      <c r="X55" s="1159" t="inlineStr">
        <is>
          <t>Nagardo weight (calc-ed)</t>
        </is>
      </c>
      <c r="Y55" s="1159" t="n"/>
      <c r="Z55" s="1159" t="n"/>
      <c r="AA55" s="1765">
        <f>AA53*AA54/1000</f>
        <v/>
      </c>
      <c r="AB55" s="1159" t="inlineStr">
        <is>
          <t>gram</t>
        </is>
      </c>
      <c r="AC55" s="1761" t="n"/>
      <c r="AD55" s="1761" t="n"/>
    </row>
    <row r="56" ht="15" customHeight="1" s="1339">
      <c r="A56" s="1737">
        <f>+J56-$J$13+K56/24-$K$13/24</f>
        <v/>
      </c>
      <c r="B56" s="1738" t="n"/>
      <c r="C56" s="1739" t="n"/>
      <c r="D56" s="1739" t="n"/>
      <c r="E56" s="1740" t="n"/>
      <c r="F56" s="1749" t="n"/>
      <c r="G56" s="1750">
        <f>IF(K56="","",(B56-F56)/(H56+0.000001)*I56)</f>
        <v/>
      </c>
      <c r="H56" s="1751">
        <f>IF(B56="","",(B55-B56))</f>
        <v/>
      </c>
      <c r="I56" s="1752">
        <f>IF(K56="","",24*(A56-A55))</f>
        <v/>
      </c>
      <c r="J56" s="1745" t="n"/>
      <c r="K56" s="1746" t="n"/>
      <c r="L56" s="1739" t="n"/>
      <c r="M56" s="1747" t="n"/>
      <c r="N56" s="1748" t="n"/>
      <c r="O56" s="1739" t="n"/>
      <c r="P56" s="1747" t="n"/>
      <c r="Q56" s="1747" t="n"/>
      <c r="R56" s="1747" t="n"/>
      <c r="S56" s="1747" t="n"/>
      <c r="T56" s="1748" t="n"/>
      <c r="U56" s="1739" t="n"/>
      <c r="V56" s="1748" t="n"/>
      <c r="X56" s="1159" t="inlineStr">
        <is>
          <t>Volume water (calc-ed)</t>
        </is>
      </c>
      <c r="Y56" s="1159" t="n"/>
      <c r="Z56" s="1159" t="n"/>
      <c r="AA56" s="1765">
        <f>AA55/(1000*0.01)</f>
        <v/>
      </c>
      <c r="AB56" s="1159" t="inlineStr">
        <is>
          <t>liter</t>
        </is>
      </c>
      <c r="AC56" s="1761" t="n"/>
      <c r="AD56" s="1761" t="n"/>
    </row>
    <row r="57" ht="15" customHeight="1" s="1339">
      <c r="A57" s="1737">
        <f>+J57-$J$13+K57/24-$K$13/24</f>
        <v/>
      </c>
      <c r="B57" s="1738" t="n"/>
      <c r="C57" s="1739" t="n"/>
      <c r="D57" s="1739" t="n"/>
      <c r="E57" s="1740" t="n"/>
      <c r="F57" s="1749" t="n"/>
      <c r="G57" s="1750">
        <f>IF(K57="","",(B57-F57)/(H57+0.000001)*I57)</f>
        <v/>
      </c>
      <c r="H57" s="1751">
        <f>IF(B57="","",(B56-B57))</f>
        <v/>
      </c>
      <c r="I57" s="1752">
        <f>IF(K57="","",24*(A57-A56))</f>
        <v/>
      </c>
      <c r="J57" s="1745" t="n"/>
      <c r="K57" s="1746" t="n"/>
      <c r="L57" s="1739" t="n"/>
      <c r="M57" s="1747" t="n"/>
      <c r="N57" s="1748" t="n"/>
      <c r="O57" s="1739" t="n"/>
      <c r="P57" s="1747" t="n"/>
      <c r="Q57" s="1747" t="n"/>
      <c r="R57" s="1747" t="n"/>
      <c r="S57" s="1747" t="n"/>
      <c r="T57" s="1748" t="n"/>
      <c r="U57" s="1739" t="n"/>
      <c r="V57" s="1748" t="n"/>
      <c r="X57" s="1762" t="n"/>
      <c r="Y57" s="1762" t="inlineStr">
        <is>
          <t>PGA - Alginate add calculator</t>
        </is>
      </c>
      <c r="Z57" s="1766" t="n"/>
      <c r="AA57" s="1766" t="n"/>
      <c r="AB57" s="1767" t="n"/>
      <c r="AC57" s="1761" t="n"/>
      <c r="AD57" s="1761" t="n"/>
    </row>
    <row r="58" ht="15" customHeight="1" s="1339">
      <c r="A58" s="1737">
        <f>+J58-$J$13+K58/24-$K$13/24</f>
        <v/>
      </c>
      <c r="B58" s="1738" t="n"/>
      <c r="C58" s="1739" t="n"/>
      <c r="D58" s="1739" t="n"/>
      <c r="E58" s="1740" t="n"/>
      <c r="F58" s="1749" t="n"/>
      <c r="G58" s="1750">
        <f>IF(K58="","",(B58-F58)/(H58+0.000001)*I58)</f>
        <v/>
      </c>
      <c r="H58" s="1751">
        <f>IF(B58="","",(B57-B58))</f>
        <v/>
      </c>
      <c r="I58" s="1752">
        <f>IF(K58="","",24*(A58-A57))</f>
        <v/>
      </c>
      <c r="J58" s="1745" t="n"/>
      <c r="K58" s="1746" t="n"/>
      <c r="L58" s="1739" t="n"/>
      <c r="M58" s="1747" t="n"/>
      <c r="N58" s="1748" t="n"/>
      <c r="O58" s="1739" t="n"/>
      <c r="P58" s="1747" t="n"/>
      <c r="Q58" s="1747" t="n"/>
      <c r="R58" s="1747" t="n"/>
      <c r="S58" s="1747" t="n"/>
      <c r="T58" s="1748" t="n"/>
      <c r="U58" s="1739" t="n"/>
      <c r="V58" s="1748" t="n"/>
      <c r="X58" s="1602" t="inlineStr">
        <is>
          <t>Alginate</t>
        </is>
      </c>
      <c r="Y58" s="1602" t="n"/>
      <c r="Z58" s="1763" t="n"/>
      <c r="AA58" s="1763">
        <f>AA60*0.02*1000</f>
        <v/>
      </c>
      <c r="AB58" s="1159" t="inlineStr">
        <is>
          <t>gram</t>
        </is>
      </c>
    </row>
    <row r="59" ht="15" customHeight="1" s="1339">
      <c r="A59" s="1737">
        <f>+J59-$J$13+K59/24-$K$13/24</f>
        <v/>
      </c>
      <c r="B59" s="1738" t="n"/>
      <c r="C59" s="1739" t="n"/>
      <c r="D59" s="1739" t="n"/>
      <c r="E59" s="1740" t="n"/>
      <c r="F59" s="1749" t="n"/>
      <c r="G59" s="1750">
        <f>IF(K59="","",(B59-F59)/(H59+0.000001)*I59)</f>
        <v/>
      </c>
      <c r="H59" s="1751">
        <f>IF(B59="","",(B58-B59))</f>
        <v/>
      </c>
      <c r="I59" s="1752">
        <f>IF(K59="","",24*(A59-A58))</f>
        <v/>
      </c>
      <c r="J59" s="1745" t="n"/>
      <c r="K59" s="1746" t="n"/>
      <c r="L59" s="1739" t="n"/>
      <c r="M59" s="1747" t="n"/>
      <c r="N59" s="1748" t="n"/>
      <c r="O59" s="1739" t="n"/>
      <c r="P59" s="1747" t="n"/>
      <c r="Q59" s="1747" t="n"/>
      <c r="R59" s="1747" t="n"/>
      <c r="S59" s="1747" t="n"/>
      <c r="T59" s="1748" t="n"/>
      <c r="U59" s="1739" t="n"/>
      <c r="V59" s="1748" t="n"/>
      <c r="X59" s="1602" t="inlineStr">
        <is>
          <t>hot water for 2% solution</t>
        </is>
      </c>
      <c r="Y59" s="1602" t="n"/>
      <c r="Z59" s="1763" t="n"/>
      <c r="AA59" s="1763">
        <f>AA60</f>
        <v/>
      </c>
      <c r="AB59" s="1159" t="inlineStr">
        <is>
          <t>liter</t>
        </is>
      </c>
    </row>
    <row r="60" ht="15" customHeight="1" s="1339">
      <c r="A60" s="1737">
        <f>+J60-$J$13+K60/24-$K$13/24</f>
        <v/>
      </c>
      <c r="B60" s="1738" t="n"/>
      <c r="C60" s="1739" t="n"/>
      <c r="D60" s="1739" t="n"/>
      <c r="E60" s="1740" t="n"/>
      <c r="F60" s="1749" t="n"/>
      <c r="G60" s="1750">
        <f>IF(K60="","",(B60-F60)/(H60+0.000001)*I60)</f>
        <v/>
      </c>
      <c r="H60" s="1751">
        <f>IF(B60="","",(B59-B60))</f>
        <v/>
      </c>
      <c r="I60" s="1752">
        <f>IF(K60="","",24*(A60-A59))</f>
        <v/>
      </c>
      <c r="J60" s="1745" t="n"/>
      <c r="K60" s="1746" t="n"/>
      <c r="L60" s="1739" t="n"/>
      <c r="M60" s="1747" t="n"/>
      <c r="N60" s="1748" t="n"/>
      <c r="O60" s="1739" t="n"/>
      <c r="P60" s="1747" t="n"/>
      <c r="Q60" s="1747" t="n"/>
      <c r="R60" s="1747" t="n"/>
      <c r="S60" s="1747" t="n"/>
      <c r="T60" s="1748" t="n"/>
      <c r="U60" s="1739" t="n"/>
      <c r="V60" s="1748" t="n"/>
      <c r="X60" s="1602" t="inlineStr">
        <is>
          <t>volume pre-fuge at  0,4l/Hl</t>
        </is>
      </c>
      <c r="Y60" s="1602" t="n"/>
      <c r="Z60" s="1763" t="n"/>
      <c r="AA60" s="1763">
        <f>'Recept-voorblad'!E92*(AA53/100)</f>
        <v/>
      </c>
      <c r="AB60" s="1159" t="inlineStr">
        <is>
          <t>liter</t>
        </is>
      </c>
    </row>
    <row r="61" ht="12.75" customHeight="1" s="1339">
      <c r="A61" s="1737">
        <f>+J61-$J$13+K61/24-$K$13/24</f>
        <v/>
      </c>
      <c r="B61" s="1738" t="n"/>
      <c r="C61" s="1739" t="n"/>
      <c r="D61" s="1739" t="n"/>
      <c r="E61" s="1740" t="n"/>
      <c r="F61" s="1749" t="n"/>
      <c r="G61" s="1750">
        <f>IF(K61="","",(B61-F61)/(H61+0.000001)*I61)</f>
        <v/>
      </c>
      <c r="H61" s="1751">
        <f>IF(B61="","",(B60-B61))</f>
        <v/>
      </c>
      <c r="I61" s="1752">
        <f>IF(K61="","",24*(A61-A60))</f>
        <v/>
      </c>
      <c r="J61" s="1745" t="n"/>
      <c r="K61" s="1746" t="n"/>
      <c r="L61" s="1739" t="n"/>
      <c r="M61" s="1747" t="n"/>
      <c r="N61" s="1748" t="n"/>
      <c r="O61" s="1739" t="n"/>
      <c r="P61" s="1747" t="n"/>
      <c r="Q61" s="1747" t="n"/>
      <c r="R61" s="1747" t="n"/>
      <c r="S61" s="1747" t="n"/>
      <c r="T61" s="1748" t="n"/>
      <c r="U61" s="1739" t="n"/>
      <c r="V61" s="1748" t="n"/>
    </row>
    <row r="62" ht="12.75" customHeight="1" s="1339">
      <c r="A62" s="1737">
        <f>+J62-$J$13+K62/24-$K$13/24</f>
        <v/>
      </c>
      <c r="B62" s="1738" t="n"/>
      <c r="C62" s="1739" t="n"/>
      <c r="D62" s="1739" t="n"/>
      <c r="E62" s="1740" t="n"/>
      <c r="F62" s="1749" t="n"/>
      <c r="G62" s="1750">
        <f>IF(K62="","",(B62-F62)/(H62+0.000001)*I62)</f>
        <v/>
      </c>
      <c r="H62" s="1751">
        <f>IF(B62="","",(B61-B62))</f>
        <v/>
      </c>
      <c r="I62" s="1752">
        <f>IF(K62="","",24*(A62-A61))</f>
        <v/>
      </c>
      <c r="J62" s="1745" t="n"/>
      <c r="K62" s="1746" t="n"/>
      <c r="L62" s="1739" t="n"/>
      <c r="M62" s="1747" t="n"/>
      <c r="N62" s="1748" t="n"/>
      <c r="O62" s="1739" t="n"/>
      <c r="P62" s="1747" t="n"/>
      <c r="Q62" s="1747" t="n"/>
      <c r="R62" s="1747" t="n"/>
      <c r="S62" s="1747" t="n"/>
      <c r="T62" s="1748" t="n"/>
      <c r="U62" s="1739" t="n"/>
      <c r="V62" s="1748" t="n"/>
    </row>
    <row r="63" ht="12.75" customHeight="1" s="1339">
      <c r="A63" s="1737">
        <f>+J63-$J$13+K63/24-$K$13/24</f>
        <v/>
      </c>
      <c r="B63" s="1738" t="n"/>
      <c r="C63" s="1739" t="n"/>
      <c r="D63" s="1739" t="n"/>
      <c r="E63" s="1740" t="n"/>
      <c r="F63" s="1768" t="n"/>
      <c r="G63" s="1769">
        <f>IF(K63="","",(B63-F63)/(H63+0.000001)*I63)</f>
        <v/>
      </c>
      <c r="H63" s="1751">
        <f>IF(B63="","",(B62-B63))</f>
        <v/>
      </c>
      <c r="I63" s="1752">
        <f>IF(K63="","",24*(A63-A62))</f>
        <v/>
      </c>
      <c r="J63" s="1745" t="n"/>
      <c r="K63" s="1746" t="n"/>
      <c r="L63" s="1739" t="n"/>
      <c r="M63" s="1747" t="n"/>
      <c r="N63" s="1748" t="n"/>
      <c r="O63" s="1739" t="n"/>
      <c r="P63" s="1747" t="n"/>
      <c r="Q63" s="1747" t="n"/>
      <c r="R63" s="1747" t="n"/>
      <c r="S63" s="1747" t="n"/>
      <c r="T63" s="1748" t="n"/>
      <c r="U63" s="1739" t="n"/>
      <c r="V63" s="1748" t="n"/>
    </row>
    <row r="64" ht="12.75" customHeight="1" s="1339"/>
    <row r="65" ht="12.75" customHeight="1" s="1339"/>
    <row r="66" ht="13.5" customHeight="1" s="1339"/>
    <row r="67" ht="15.75" customHeight="1" s="1339">
      <c r="B67" s="1770" t="inlineStr">
        <is>
          <t>Nano Flavor pre-concentration</t>
        </is>
      </c>
      <c r="C67" s="1771" t="n"/>
      <c r="D67" s="1771" t="n"/>
      <c r="H67" s="1772" t="inlineStr">
        <is>
          <t>Nano Flavor Dialysis</t>
        </is>
      </c>
      <c r="I67" s="1650" t="n"/>
      <c r="J67" s="1650" t="n"/>
      <c r="K67" s="1650" t="n"/>
      <c r="L67" s="1650" t="n"/>
      <c r="M67" s="1159" t="n"/>
      <c r="N67" s="1159" t="n"/>
      <c r="O67" s="1159" t="inlineStr">
        <is>
          <t>Steps: Fields with "&gt;" to be filled.</t>
        </is>
      </c>
      <c r="P67" s="1159" t="n"/>
      <c r="Q67" s="1159" t="n"/>
    </row>
    <row r="68" ht="15.75" customHeight="1" s="1339">
      <c r="B68" s="1770" t="inlineStr">
        <is>
          <t>Target 7,5°P</t>
        </is>
      </c>
      <c r="C68" s="1771" t="n"/>
      <c r="D68" s="1771" t="n"/>
      <c r="H68" s="1773" t="n"/>
      <c r="I68" s="1774" t="inlineStr">
        <is>
          <t>OGW added</t>
        </is>
      </c>
      <c r="J68" s="1725" t="n"/>
      <c r="K68" s="1775" t="inlineStr">
        <is>
          <t>Alcohol from AP</t>
        </is>
      </c>
      <c r="L68" s="1775" t="n"/>
      <c r="M68" s="1159" t="n"/>
      <c r="N68" s="1159" t="n"/>
      <c r="O68" s="1159" t="inlineStr">
        <is>
          <t>1.</t>
        </is>
      </c>
      <c r="P68" s="1159" t="inlineStr">
        <is>
          <t>Fill in initial rest extract from Anton Paar results</t>
        </is>
      </c>
      <c r="Q68" s="1159" t="n"/>
    </row>
    <row r="69" ht="15" customHeight="1" s="1339">
      <c r="B69" s="1776" t="inlineStr">
        <is>
          <t>Initial Rest Extract</t>
        </is>
      </c>
      <c r="C69" s="1777" t="n"/>
      <c r="D69" s="1778" t="inlineStr">
        <is>
          <t>°P</t>
        </is>
      </c>
      <c r="H69" s="1773" t="inlineStr">
        <is>
          <t>Initial alcohol at</t>
        </is>
      </c>
      <c r="I69" s="1779" t="n">
        <v>0</v>
      </c>
      <c r="J69" s="1775" t="inlineStr">
        <is>
          <t>&gt; hl</t>
        </is>
      </c>
      <c r="K69" s="1780" t="n"/>
      <c r="L69" s="1781" t="inlineStr">
        <is>
          <t>%</t>
        </is>
      </c>
      <c r="M69" s="1159" t="n"/>
      <c r="N69" s="1159" t="n"/>
      <c r="O69" s="1159" t="inlineStr">
        <is>
          <t>2.</t>
        </is>
      </c>
      <c r="P69" s="1159" t="inlineStr">
        <is>
          <t>Fill in initial volume from tank overview</t>
        </is>
      </c>
      <c r="Q69" s="1159" t="n"/>
    </row>
    <row r="70" ht="15" customHeight="1" s="1339">
      <c r="B70" s="1776" t="inlineStr">
        <is>
          <t>Initial Volume</t>
        </is>
      </c>
      <c r="C70" s="1777" t="n"/>
      <c r="D70" s="1778" t="inlineStr">
        <is>
          <t>hl</t>
        </is>
      </c>
      <c r="H70" s="1782" t="inlineStr">
        <is>
          <t>&gt;Alcohol after</t>
        </is>
      </c>
      <c r="I70" s="1783" t="n"/>
      <c r="J70" s="1784" t="inlineStr">
        <is>
          <t>&gt; hl</t>
        </is>
      </c>
      <c r="K70" s="1785" t="n"/>
      <c r="L70" s="1786" t="inlineStr">
        <is>
          <t>%</t>
        </is>
      </c>
      <c r="M70" s="1159" t="n"/>
      <c r="N70" s="1159" t="n"/>
      <c r="O70" s="1159" t="inlineStr">
        <is>
          <t>3.</t>
        </is>
      </c>
      <c r="P70" s="1159" t="inlineStr">
        <is>
          <t>Start Nano Flavor, fill in calculated 'volume removed' at pre-concentration step in order start</t>
        </is>
      </c>
      <c r="Q70" s="1159" t="n"/>
    </row>
    <row r="71" ht="15.75" customHeight="1" s="1339">
      <c r="B71" s="1787" t="inlineStr">
        <is>
          <t>Target Rest Extract</t>
        </is>
      </c>
      <c r="C71" s="1788" t="n">
        <v>7.5</v>
      </c>
      <c r="D71" s="1789" t="inlineStr">
        <is>
          <t>°P</t>
        </is>
      </c>
      <c r="H71" s="1782" t="inlineStr">
        <is>
          <t>&gt;Alcohol after</t>
        </is>
      </c>
      <c r="I71" s="1783" t="n"/>
      <c r="J71" s="1784" t="inlineStr">
        <is>
          <t>&gt; hl</t>
        </is>
      </c>
      <c r="K71" s="1785" t="n"/>
      <c r="L71" s="1786" t="inlineStr">
        <is>
          <t>%</t>
        </is>
      </c>
      <c r="M71" s="1159" t="n"/>
      <c r="N71" s="1159" t="n"/>
      <c r="O71" s="1159" t="inlineStr">
        <is>
          <t>4.</t>
        </is>
      </c>
      <c r="P71" s="1159" t="inlineStr">
        <is>
          <t>When volume is removed Nano Flavor goes to Dialysis</t>
        </is>
      </c>
      <c r="Q71" s="1159" t="n"/>
    </row>
    <row r="72" ht="15.75" customHeight="1" s="1339">
      <c r="B72" s="1790" t="n"/>
      <c r="C72" s="1343" t="n"/>
      <c r="D72" s="1791" t="n"/>
      <c r="H72" s="1782" t="inlineStr">
        <is>
          <t>&gt;Alcohol after</t>
        </is>
      </c>
      <c r="I72" s="1783" t="n"/>
      <c r="J72" s="1784" t="inlineStr">
        <is>
          <t>&gt; hl</t>
        </is>
      </c>
      <c r="K72" s="1785" t="n"/>
      <c r="L72" s="1786" t="inlineStr">
        <is>
          <t>%</t>
        </is>
      </c>
      <c r="M72" s="1159" t="n"/>
      <c r="N72" s="1159" t="n"/>
      <c r="O72" s="1159" t="inlineStr">
        <is>
          <t>5.</t>
        </is>
      </c>
      <c r="P72" s="1159" t="inlineStr">
        <is>
          <t>Fill in Initial alcohol from Anton Paar results</t>
        </is>
      </c>
      <c r="Q72" s="1159" t="n"/>
    </row>
    <row r="73" ht="15.75" customHeight="1" s="1339">
      <c r="B73" s="1792" t="inlineStr">
        <is>
          <t>Volume permeate line</t>
        </is>
      </c>
      <c r="C73" s="1793">
        <f>C70-((C69*C70)/C71)</f>
        <v/>
      </c>
      <c r="D73" s="1778" t="inlineStr">
        <is>
          <t>hl</t>
        </is>
      </c>
      <c r="H73" s="1782" t="inlineStr">
        <is>
          <t>&gt;Alcohol after</t>
        </is>
      </c>
      <c r="I73" s="1783" t="n"/>
      <c r="J73" s="1784" t="inlineStr">
        <is>
          <t>&gt; hl</t>
        </is>
      </c>
      <c r="K73" s="1785" t="n"/>
      <c r="L73" s="1786" t="inlineStr">
        <is>
          <t>%</t>
        </is>
      </c>
      <c r="M73" s="1159" t="n"/>
      <c r="N73" s="1159" t="n"/>
      <c r="O73" s="1159" t="inlineStr">
        <is>
          <t>6.</t>
        </is>
      </c>
      <c r="P73" s="1159" t="inlineStr">
        <is>
          <t>Next day, take Anton Paar sample, fill in alcohol from Anton Paar result in next empty square</t>
        </is>
      </c>
      <c r="Q73" s="1159" t="n"/>
    </row>
    <row r="74" ht="16.5" customHeight="1" s="1339">
      <c r="H74" s="1794" t="inlineStr">
        <is>
          <t>Target Alcohol</t>
        </is>
      </c>
      <c r="I74" s="1795" t="n"/>
      <c r="J74" s="1796" t="n"/>
      <c r="K74" s="1797" t="n">
        <v>0.5</v>
      </c>
      <c r="L74" s="1798" t="inlineStr">
        <is>
          <t>%</t>
        </is>
      </c>
      <c r="M74" s="1159" t="n"/>
      <c r="N74" s="1159" t="n"/>
      <c r="O74" s="1159" t="inlineStr">
        <is>
          <t>7.</t>
        </is>
      </c>
      <c r="P74" s="1159" t="inlineStr">
        <is>
          <t>Also fill in the Dialysis OGW added taken from Nano Flavor screen</t>
        </is>
      </c>
      <c r="Q74" s="1159" t="n"/>
    </row>
    <row r="75" ht="15.75" customHeight="1" s="1339">
      <c r="H75" s="1799" t="inlineStr">
        <is>
          <t>Constants</t>
        </is>
      </c>
      <c r="I75" s="1800">
        <f t="array" ref="I75:J75">IF(K71="",LINEST(LN(K69:K70),I69:I70),IF(K72="",LINEST(LN(K69:K71),I69:I71),IF(K73="",LINEST(LN(K69:K72),I69:I72),LINEST(LN(K69:K73),I69:I73))))</f>
        <v/>
      </c>
      <c r="J75" s="1801" t="e">
        <v>#VALUE!</v>
      </c>
      <c r="K75" s="1802">
        <f>EXP(J75)</f>
        <v/>
      </c>
      <c r="L75" s="1803">
        <f>LN(K74/K75)/I75</f>
        <v/>
      </c>
      <c r="M75" s="1159" t="n"/>
      <c r="N75" s="1159" t="n"/>
      <c r="O75" s="1159" t="inlineStr">
        <is>
          <t>8.</t>
        </is>
      </c>
      <c r="P75" s="1159" t="inlineStr">
        <is>
          <t>Now you get an indication on how long the process will take</t>
        </is>
      </c>
      <c r="Q75" s="1159" t="n"/>
    </row>
    <row r="76" ht="15.75" customHeight="1" s="1339">
      <c r="H76" s="1804" t="n"/>
      <c r="I76" s="1805" t="n"/>
      <c r="J76" s="1725" t="n"/>
      <c r="K76" s="1804" t="n"/>
      <c r="L76" s="1804" t="n"/>
      <c r="M76" s="1159" t="n"/>
      <c r="N76" s="1159" t="n"/>
      <c r="O76" s="1159" t="n"/>
      <c r="P76" s="1159" t="n"/>
      <c r="Q76" s="1159" t="n"/>
    </row>
    <row r="77" ht="15.75" customHeight="1" s="1339">
      <c r="H77" s="1806" t="inlineStr">
        <is>
          <t>Total volume to add in OGW</t>
        </is>
      </c>
      <c r="I77" s="1807" t="n"/>
      <c r="J77" s="1808" t="n"/>
      <c r="K77" s="1809">
        <f>LN(K74/K75)/I75</f>
        <v/>
      </c>
      <c r="L77" s="1810" t="inlineStr">
        <is>
          <t>hl</t>
        </is>
      </c>
      <c r="M77" s="1159" t="n"/>
      <c r="N77" s="1159" t="n"/>
      <c r="O77" s="1159" t="n"/>
      <c r="P77" s="1159" t="n"/>
      <c r="Q77" s="1159" t="n"/>
    </row>
    <row r="78" ht="15.75" customHeight="1" s="1339">
      <c r="H78" s="1804" t="n"/>
      <c r="I78" s="1805" t="n"/>
      <c r="J78" s="1725" t="n"/>
      <c r="K78" s="1804" t="n"/>
      <c r="L78" s="1804" t="n"/>
      <c r="M78" s="1159" t="n"/>
      <c r="N78" s="1159" t="n"/>
      <c r="O78" s="1159" t="n"/>
      <c r="P78" s="1159" t="n"/>
      <c r="Q78" s="1159" t="n"/>
    </row>
    <row r="79" ht="15" customHeight="1" s="1339">
      <c r="H79" s="1811" t="inlineStr">
        <is>
          <t>&gt;Volume OGW added</t>
        </is>
      </c>
      <c r="I79" s="1812" t="n"/>
      <c r="J79" s="1813" t="n"/>
      <c r="K79" s="1814" t="n"/>
      <c r="L79" s="1815" t="inlineStr">
        <is>
          <t>hl</t>
        </is>
      </c>
      <c r="M79" s="1159" t="n"/>
      <c r="N79" s="1159" t="n"/>
      <c r="O79" s="1159" t="n"/>
      <c r="P79" s="1159" t="n"/>
      <c r="Q79" s="1159" t="n"/>
    </row>
    <row r="80" ht="15" customHeight="1" s="1339">
      <c r="H80" s="1816" t="inlineStr">
        <is>
          <t>&gt;Current permeate flow</t>
        </is>
      </c>
      <c r="I80" s="1315" t="n"/>
      <c r="J80" s="1316" t="n"/>
      <c r="K80" s="1817" t="n"/>
      <c r="L80" s="1818" t="inlineStr">
        <is>
          <t>hl/h</t>
        </is>
      </c>
      <c r="M80" s="1159" t="n"/>
      <c r="N80" s="1159" t="n"/>
      <c r="O80" s="1159" t="n"/>
      <c r="P80" s="1159" t="n"/>
      <c r="Q80" s="1159" t="n"/>
    </row>
    <row r="81" ht="15" customHeight="1" s="1339">
      <c r="H81" s="1816" t="inlineStr">
        <is>
          <t>Current alcohol content</t>
        </is>
      </c>
      <c r="I81" s="1315" t="n"/>
      <c r="J81" s="1316" t="n"/>
      <c r="K81" s="1819">
        <f>K75*(EXP(1)^(I75*K79))</f>
        <v/>
      </c>
      <c r="L81" s="1818" t="inlineStr">
        <is>
          <t>%</t>
        </is>
      </c>
      <c r="M81" s="1159" t="n"/>
      <c r="N81" s="1159" t="n"/>
      <c r="O81" s="1159" t="n"/>
      <c r="P81" s="1159" t="n"/>
      <c r="Q81" s="1159" t="n"/>
    </row>
    <row r="82" ht="15" customHeight="1" s="1339">
      <c r="H82" s="1816" t="inlineStr">
        <is>
          <t>Volume remaining</t>
        </is>
      </c>
      <c r="I82" s="1315" t="n"/>
      <c r="J82" s="1316" t="n"/>
      <c r="K82" s="1820">
        <f>K77-K80</f>
        <v/>
      </c>
      <c r="L82" s="1818" t="inlineStr">
        <is>
          <t>hl</t>
        </is>
      </c>
      <c r="M82" s="1159" t="n"/>
      <c r="N82" s="1159" t="n"/>
      <c r="O82" s="1159" t="n"/>
      <c r="P82" s="1159" t="n"/>
      <c r="Q82" s="1159" t="n"/>
    </row>
    <row r="83" ht="15" customHeight="1" s="1339">
      <c r="H83" s="1816" t="inlineStr">
        <is>
          <t>Time remaining</t>
        </is>
      </c>
      <c r="I83" s="1315" t="n"/>
      <c r="J83" s="1316" t="n"/>
      <c r="K83" s="1819">
        <f>K82/K80</f>
        <v/>
      </c>
      <c r="L83" s="1818" t="inlineStr">
        <is>
          <t>hrs</t>
        </is>
      </c>
      <c r="M83" s="1159" t="n"/>
      <c r="N83" s="1159" t="n"/>
      <c r="O83" s="1159" t="n"/>
      <c r="P83" s="1159" t="n"/>
      <c r="Q83" s="1159" t="n"/>
    </row>
    <row r="84" ht="15.75" customHeight="1" s="1339">
      <c r="H84" s="1821" t="inlineStr">
        <is>
          <t>Finish time</t>
        </is>
      </c>
      <c r="I84" s="1822" t="n"/>
      <c r="J84" s="1823" t="n"/>
      <c r="K84" s="1824">
        <f>NOW()+(K83/24)</f>
        <v/>
      </c>
      <c r="L84" s="1823" t="n"/>
      <c r="M84" s="1159" t="n"/>
      <c r="N84" s="1159" t="n"/>
      <c r="O84" s="1159" t="n"/>
      <c r="P84" s="1159" t="n"/>
      <c r="Q84" s="1159" t="n"/>
    </row>
    <row r="85" ht="15" customHeight="1" s="1339">
      <c r="B85" s="1159" t="n"/>
      <c r="C85" s="1159" t="n"/>
      <c r="D85" s="1159" t="n"/>
      <c r="E85" s="1159" t="n"/>
      <c r="F85" s="1159" t="n"/>
      <c r="G85" s="1159" t="n"/>
      <c r="H85" s="1159" t="n"/>
      <c r="I85" s="1159" t="n"/>
      <c r="J85" s="1159" t="n"/>
      <c r="K85" s="1159" t="n"/>
      <c r="L85" s="1159" t="n"/>
      <c r="M85" s="1159" t="n"/>
      <c r="N85" s="1159" t="n"/>
      <c r="O85" s="1159" t="n"/>
      <c r="P85" s="1159" t="n"/>
      <c r="Q85" s="1159" t="n"/>
    </row>
    <row r="86" ht="15" customHeight="1" s="1339">
      <c r="B86" s="1159" t="n"/>
      <c r="C86" s="1159" t="n"/>
      <c r="D86" s="1159" t="n"/>
      <c r="E86" s="1159" t="n"/>
      <c r="F86" s="1159" t="n"/>
      <c r="G86" s="1159" t="n"/>
      <c r="H86" s="1159" t="n"/>
      <c r="I86" s="1159" t="n"/>
      <c r="J86" s="1159" t="n"/>
      <c r="K86" s="1159" t="n"/>
      <c r="L86" s="1159" t="n"/>
      <c r="M86" s="1159" t="n"/>
      <c r="N86" s="1159" t="n"/>
      <c r="O86" s="1159" t="n"/>
      <c r="P86" s="1159" t="n"/>
      <c r="Q86" s="1159" t="n"/>
    </row>
  </sheetData>
  <mergeCells count="211">
    <mergeCell ref="U31:V31"/>
    <mergeCell ref="O49:T49"/>
    <mergeCell ref="L33:N33"/>
    <mergeCell ref="U40:V40"/>
    <mergeCell ref="L42:N42"/>
    <mergeCell ref="U15:V15"/>
    <mergeCell ref="X7:AD8"/>
    <mergeCell ref="L35:N35"/>
    <mergeCell ref="L58:N58"/>
    <mergeCell ref="D9:E10"/>
    <mergeCell ref="D6:E6"/>
    <mergeCell ref="O50:T50"/>
    <mergeCell ref="L25:N25"/>
    <mergeCell ref="H84:J84"/>
    <mergeCell ref="I76:J76"/>
    <mergeCell ref="L60:N60"/>
    <mergeCell ref="U16:V16"/>
    <mergeCell ref="O12:T12"/>
    <mergeCell ref="O52:T52"/>
    <mergeCell ref="E2:E3"/>
    <mergeCell ref="U57:V57"/>
    <mergeCell ref="L59:N59"/>
    <mergeCell ref="L46:N46"/>
    <mergeCell ref="K10:M10"/>
    <mergeCell ref="O14:T14"/>
    <mergeCell ref="O23:T23"/>
    <mergeCell ref="O37:T37"/>
    <mergeCell ref="U33:V33"/>
    <mergeCell ref="U28:V28"/>
    <mergeCell ref="L61:N61"/>
    <mergeCell ref="O13:T13"/>
    <mergeCell ref="Q9:R9"/>
    <mergeCell ref="U42:V42"/>
    <mergeCell ref="K3:M3"/>
    <mergeCell ref="L48:N48"/>
    <mergeCell ref="A2:C3"/>
    <mergeCell ref="Q2:R2"/>
    <mergeCell ref="L32:N32"/>
    <mergeCell ref="O15:T15"/>
    <mergeCell ref="K9:M9"/>
    <mergeCell ref="X3:AD3"/>
    <mergeCell ref="K5:M5"/>
    <mergeCell ref="A6:C6"/>
    <mergeCell ref="L13:N13"/>
    <mergeCell ref="U20:V20"/>
    <mergeCell ref="U14:V14"/>
    <mergeCell ref="L47:N47"/>
    <mergeCell ref="Q8:V8"/>
    <mergeCell ref="U60:V60"/>
    <mergeCell ref="L15:N15"/>
    <mergeCell ref="U22:V22"/>
    <mergeCell ref="L24:N24"/>
    <mergeCell ref="O54:T54"/>
    <mergeCell ref="L18:N18"/>
    <mergeCell ref="O63:T63"/>
    <mergeCell ref="E4:E5"/>
    <mergeCell ref="O41:T41"/>
    <mergeCell ref="U59:V59"/>
    <mergeCell ref="O35:T35"/>
    <mergeCell ref="U46:V46"/>
    <mergeCell ref="L51:N51"/>
    <mergeCell ref="L26:N26"/>
    <mergeCell ref="B9:C10"/>
    <mergeCell ref="O25:T25"/>
    <mergeCell ref="H2:H3"/>
    <mergeCell ref="O43:T43"/>
    <mergeCell ref="O55:T55"/>
    <mergeCell ref="K8:M8"/>
    <mergeCell ref="U61:V61"/>
    <mergeCell ref="L63:N63"/>
    <mergeCell ref="O40:T40"/>
    <mergeCell ref="L41:N41"/>
    <mergeCell ref="U48:V48"/>
    <mergeCell ref="L50:N50"/>
    <mergeCell ref="O27:T27"/>
    <mergeCell ref="O42:T42"/>
    <mergeCell ref="U32:V32"/>
    <mergeCell ref="B68:D68"/>
    <mergeCell ref="L34:N34"/>
    <mergeCell ref="U41:V41"/>
    <mergeCell ref="O17:T17"/>
    <mergeCell ref="K7:M7"/>
    <mergeCell ref="U13:V13"/>
    <mergeCell ref="L52:N52"/>
    <mergeCell ref="U47:V47"/>
    <mergeCell ref="L49:N49"/>
    <mergeCell ref="U56:V56"/>
    <mergeCell ref="K4:M4"/>
    <mergeCell ref="L36:N36"/>
    <mergeCell ref="U43:V43"/>
    <mergeCell ref="H12:H13"/>
    <mergeCell ref="X13:AD13"/>
    <mergeCell ref="U24:V24"/>
    <mergeCell ref="U18:V18"/>
    <mergeCell ref="U58:V58"/>
    <mergeCell ref="O53:T53"/>
    <mergeCell ref="L28:N28"/>
    <mergeCell ref="H4:H5"/>
    <mergeCell ref="L37:N37"/>
    <mergeCell ref="O45:T45"/>
    <mergeCell ref="U63:V63"/>
    <mergeCell ref="L12:N12"/>
    <mergeCell ref="U19:V19"/>
    <mergeCell ref="U50:V50"/>
    <mergeCell ref="U44:V44"/>
    <mergeCell ref="I74:J74"/>
    <mergeCell ref="U34:V34"/>
    <mergeCell ref="U9:V9"/>
    <mergeCell ref="L62:N62"/>
    <mergeCell ref="H67:L67"/>
    <mergeCell ref="L14:N14"/>
    <mergeCell ref="L23:N23"/>
    <mergeCell ref="O32:T32"/>
    <mergeCell ref="H79:J79"/>
    <mergeCell ref="O26:T26"/>
    <mergeCell ref="U49:V49"/>
    <mergeCell ref="L55:N55"/>
    <mergeCell ref="D2:D3"/>
    <mergeCell ref="U36:V36"/>
    <mergeCell ref="U30:V30"/>
    <mergeCell ref="U45:V45"/>
    <mergeCell ref="O16:T16"/>
    <mergeCell ref="H81:J81"/>
    <mergeCell ref="L54:N54"/>
    <mergeCell ref="O62:T62"/>
    <mergeCell ref="O56:T56"/>
    <mergeCell ref="L40:N40"/>
    <mergeCell ref="X12:AD12"/>
    <mergeCell ref="O58:T58"/>
    <mergeCell ref="L56:N56"/>
    <mergeCell ref="U37:V37"/>
    <mergeCell ref="O60:T60"/>
    <mergeCell ref="U12:V12"/>
    <mergeCell ref="U21:V21"/>
    <mergeCell ref="X4:AD5"/>
    <mergeCell ref="L27:N27"/>
    <mergeCell ref="O57:T57"/>
    <mergeCell ref="U62:V62"/>
    <mergeCell ref="H82:J82"/>
    <mergeCell ref="L17:N17"/>
    <mergeCell ref="O19:T19"/>
    <mergeCell ref="O34:T34"/>
    <mergeCell ref="O28:T28"/>
    <mergeCell ref="U55:V55"/>
    <mergeCell ref="L57:N57"/>
    <mergeCell ref="L19:N19"/>
    <mergeCell ref="U51:V51"/>
    <mergeCell ref="L53:N53"/>
    <mergeCell ref="O36:T36"/>
    <mergeCell ref="A4:C5"/>
    <mergeCell ref="O30:T30"/>
    <mergeCell ref="U26:V26"/>
    <mergeCell ref="U35:V35"/>
    <mergeCell ref="O20:T20"/>
    <mergeCell ref="K1:V1"/>
    <mergeCell ref="O29:T29"/>
    <mergeCell ref="B67:D67"/>
    <mergeCell ref="L30:N30"/>
    <mergeCell ref="L39:N39"/>
    <mergeCell ref="O44:T44"/>
    <mergeCell ref="O22:T22"/>
    <mergeCell ref="L45:N45"/>
    <mergeCell ref="X10:AD10"/>
    <mergeCell ref="O31:T31"/>
    <mergeCell ref="L20:N20"/>
    <mergeCell ref="U27:V27"/>
    <mergeCell ref="L29:N29"/>
    <mergeCell ref="O59:T59"/>
    <mergeCell ref="L38:N38"/>
    <mergeCell ref="K2:M2"/>
    <mergeCell ref="O21:T21"/>
    <mergeCell ref="O46:T46"/>
    <mergeCell ref="U2:V2"/>
    <mergeCell ref="X9:AD9"/>
    <mergeCell ref="U17:V17"/>
    <mergeCell ref="O51:T51"/>
    <mergeCell ref="D4:D5"/>
    <mergeCell ref="I12:I13"/>
    <mergeCell ref="L22:N22"/>
    <mergeCell ref="U25:V25"/>
    <mergeCell ref="L44:N44"/>
    <mergeCell ref="O47:T47"/>
    <mergeCell ref="L31:N31"/>
    <mergeCell ref="O61:T61"/>
    <mergeCell ref="H80:J80"/>
    <mergeCell ref="K84:L84"/>
    <mergeCell ref="X2:AD2"/>
    <mergeCell ref="O48:T48"/>
    <mergeCell ref="B8:C8"/>
    <mergeCell ref="X11:AD11"/>
    <mergeCell ref="L21:N21"/>
    <mergeCell ref="U53:V53"/>
    <mergeCell ref="I68:J68"/>
    <mergeCell ref="O38:T38"/>
    <mergeCell ref="K6:M6"/>
    <mergeCell ref="U52:V52"/>
    <mergeCell ref="U39:V39"/>
    <mergeCell ref="D8:E8"/>
    <mergeCell ref="L16:N16"/>
    <mergeCell ref="U54:V54"/>
    <mergeCell ref="O24:T24"/>
    <mergeCell ref="O18:T18"/>
    <mergeCell ref="O33:T33"/>
    <mergeCell ref="I78:J78"/>
    <mergeCell ref="U29:V29"/>
    <mergeCell ref="U23:V23"/>
    <mergeCell ref="U38:V38"/>
    <mergeCell ref="X6:AD6"/>
    <mergeCell ref="L43:N43"/>
    <mergeCell ref="O39:T39"/>
    <mergeCell ref="H83:J83"/>
  </mergeCells>
  <conditionalFormatting sqref="O28:T28">
    <cfRule type="expression" rank="0" priority="2" equalAverage="0" aboveAverage="0" dxfId="17" text="" percent="0" bottom="0">
      <formula>LEN(TRIM(O28))&gt;0</formula>
    </cfRule>
  </conditionalFormatting>
  <conditionalFormatting sqref="D9">
    <cfRule type="containsText" rank="0" priority="3" equalAverage="0" operator="containsText" aboveAverage="0" dxfId="10" text="Te verbeteren" percent="0" bottom="0">
      <formula>NOT(ISERROR(SEARCH("Te verbeteren",D9)))</formula>
    </cfRule>
    <cfRule type="containsText" rank="0" priority="4" equalAverage="0" operator="containsText" aboveAverage="0" dxfId="11" text="Standaard" percent="0" bottom="0">
      <formula>NOT(ISERROR(SEARCH("Standaard",D9)))</formula>
    </cfRule>
    <cfRule type="containsText" rank="0" priority="5" equalAverage="0" operator="containsText" aboveAverage="0" dxfId="12" text="NPI" percent="0" bottom="0">
      <formula>NOT(ISERROR(SEARCH("NPI",D9)))</formula>
    </cfRule>
    <cfRule type="containsText" rank="0" priority="6" equalAverage="0" operator="containsText" aboveAverage="0" dxfId="12" text="Gevaarlijk" percent="0" bottom="0">
      <formula>NOT(ISERROR(SEARCH("Gevaarlijk",D9)))</formula>
    </cfRule>
    <cfRule type="containsText" rank="0" priority="7" equalAverage="0" operator="containsText" aboveAverage="0" dxfId="11" text="Standaard" percent="0" bottom="0">
      <formula>NOT(ISERROR(SEARCH("Standaard",D9)))</formula>
    </cfRule>
    <cfRule type="containsText" rank="0" priority="8" equalAverage="0" operator="containsText" aboveAverage="0" dxfId="10" text="Gevoelig" percent="0" bottom="0">
      <formula>NOT(ISERROR(SEARCH("Gevoelig",D9)))</formula>
    </cfRule>
  </conditionalFormatting>
  <conditionalFormatting sqref="B9">
    <cfRule type="containsText" rank="0" priority="9" equalAverage="0" operator="containsText" aboveAverage="0" dxfId="18" text="Gevaarlijk" percent="0" bottom="0">
      <formula>NOT(ISERROR(SEARCH("Gevaarlijk",B9)))</formula>
    </cfRule>
    <cfRule type="containsText" rank="0" priority="10" equalAverage="0" operator="containsText" aboveAverage="0" dxfId="11" text="Standaard" percent="0" bottom="0">
      <formula>NOT(ISERROR(SEARCH("Standaard",B9)))</formula>
    </cfRule>
    <cfRule type="containsText" rank="0" priority="11" equalAverage="0" operator="containsText" aboveAverage="0" dxfId="10" text="Gevoelig" percent="0" bottom="0">
      <formula>NOT(ISERROR(SEARCH("Gevoelig",B9)))</formula>
    </cfRule>
  </conditionalFormatting>
  <conditionalFormatting sqref="E13">
    <cfRule type="expression" rank="0" priority="12" equalAverage="0" aboveAverage="0" dxfId="14" text="" percent="0" bottom="0">
      <formula>LEN(TRIM(E13))=0</formula>
    </cfRule>
  </conditionalFormatting>
  <conditionalFormatting sqref="A12:A63">
    <cfRule type="cellIs" rank="0" priority="13" equalAverage="0" operator="lessThan" aboveAverage="0" dxfId="19" text="" percent="0" bottom="0">
      <formula>0</formula>
    </cfRule>
  </conditionalFormatting>
  <conditionalFormatting sqref="G14:G63">
    <cfRule type="cellIs" rank="0" priority="14" equalAverage="0" operator="between" aboveAverage="0" dxfId="20" text="" percent="0" bottom="0">
      <formula>0</formula>
      <formula>48</formula>
    </cfRule>
    <cfRule type="cellIs" rank="0" priority="15" equalAverage="0" operator="lessThan" aboveAverage="0" dxfId="21" text="" percent="0" bottom="0">
      <formula>0</formula>
    </cfRule>
  </conditionalFormatting>
  <conditionalFormatting sqref="B13">
    <cfRule type="expression" rank="0" priority="16" equalAverage="0" aboveAverage="0" dxfId="14" text="" percent="0" bottom="0">
      <formula>LEN(TRIM(B13))=0</formula>
    </cfRule>
    <cfRule type="cellIs" rank="0" priority="17" equalAverage="0" operator="notBetween" aboveAverage="0" dxfId="12" text="" percent="0" bottom="0">
      <formula>$O$3+0.5</formula>
      <formula>$O$3-0.5</formula>
    </cfRule>
  </conditionalFormatting>
  <conditionalFormatting sqref="T10">
    <cfRule type="cellIs" rank="0" priority="18" equalAverage="0" operator="notBetween" aboveAverage="0" dxfId="12" text="" percent="0" bottom="0">
      <formula>$T$7+$U$7</formula>
      <formula>$T$7-$U$7</formula>
    </cfRule>
  </conditionalFormatting>
  <dataValidations count="2">
    <dataValidation sqref="L14:N63" showDropDown="0" showInputMessage="1" showErrorMessage="1" allowBlank="1" type="list" errorStyle="stop" operator="between">
      <formula1>"24h purge,purge,purge,spond,purge,dry warm,spond,proeven,proeven,purge,koelen,toevoeging,pomp start,pomp stop,overdrukken,verwerken,sample naar lab,purge,verwerken,samenvoegen,dryhopping,anders"</formula1>
      <formula2>0</formula2>
    </dataValidation>
    <dataValidation sqref="L13:N13" showDropDown="0" showInputMessage="1" showErrorMessage="1" allowBlank="1" type="list" errorStyle="stop" operator="between">
      <formula1>"24h purge,purge,purge,spond,purge,dry warm,spond,proeven,proeven,purge,koelen,toevoeging,pomp start,pomp stop,overdrukken,verwerken,sample naar lab,purge,verwerken,samenvoegen,dryhopping,purge,transport,anders"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W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61" activeCellId="0" sqref="D61"/>
    </sheetView>
  </sheetViews>
  <sheetFormatPr baseColWidth="8" defaultColWidth="8.00390625" defaultRowHeight="15" zeroHeight="0" outlineLevelRow="0"/>
  <cols>
    <col width="4.5" customWidth="1" style="1825" min="1" max="1"/>
    <col width="5.12" customWidth="1" style="1825" min="2" max="2"/>
    <col width="9.619999999999999" customWidth="1" style="1825" min="3" max="3"/>
    <col width="4.12" customWidth="1" style="1825" min="4" max="4"/>
    <col width="3.62" customWidth="1" style="1825" min="5" max="5"/>
    <col width="4.12" customWidth="1" style="1825" min="6" max="8"/>
    <col width="3.62" customWidth="1" style="1825" min="9" max="9"/>
    <col width="3" customWidth="1" style="1825" min="10" max="10"/>
    <col width="3.62" customWidth="1" style="1825" min="11" max="11"/>
    <col width="2" customWidth="1" style="1825" min="12" max="12"/>
    <col width="4.12" customWidth="1" style="1825" min="13" max="13"/>
    <col width="4.62" customWidth="1" style="1825" min="14" max="14"/>
    <col width="3.62" customWidth="1" style="1825" min="15" max="15"/>
    <col width="3" customWidth="1" style="1825" min="16" max="16"/>
    <col width="8.619999999999999" customWidth="1" style="1825" min="17" max="17"/>
    <col width="8.119999999999999" customWidth="1" style="1825" min="18" max="18"/>
    <col width="8" customWidth="1" style="1825" min="19" max="19"/>
    <col width="12.5" customWidth="1" style="1825" min="20" max="20"/>
    <col width="8" customWidth="1" style="1825" min="21" max="22"/>
    <col width="6.88" customWidth="1" style="1825" min="23" max="23"/>
    <col hidden="1" width="10.49" customWidth="1" style="1825" min="24" max="32"/>
    <col hidden="1" width="8" customWidth="1" style="1825" min="33" max="16384"/>
  </cols>
  <sheetData>
    <row r="1" ht="15" customHeight="1" s="1339">
      <c r="A1" s="1826" t="inlineStr">
        <is>
          <t>Verwerking</t>
        </is>
      </c>
      <c r="B1" s="1106" t="n"/>
      <c r="C1" s="1106" t="n"/>
      <c r="D1" s="1106" t="n"/>
      <c r="E1" s="1106" t="n"/>
      <c r="F1" s="1106" t="n"/>
      <c r="G1" s="1106" t="n"/>
      <c r="H1" s="1106" t="n"/>
      <c r="I1" s="1106" t="n"/>
      <c r="J1" s="1106" t="n"/>
      <c r="K1" s="1106" t="n"/>
      <c r="L1" s="1106" t="n"/>
      <c r="M1" s="1106" t="n"/>
      <c r="N1" s="1106" t="n"/>
      <c r="O1" s="1106" t="n"/>
      <c r="P1" s="1106" t="n"/>
      <c r="Q1" s="1106" t="n"/>
      <c r="R1" s="1106" t="n"/>
      <c r="S1" s="1827">
        <f>D63</f>
        <v/>
      </c>
      <c r="T1" s="1602" t="n"/>
      <c r="U1" s="1602" t="n"/>
      <c r="V1" s="1602" t="n"/>
      <c r="W1" s="1602" t="n"/>
    </row>
    <row r="2" ht="15" customHeight="1" s="1339">
      <c r="A2" s="1108" t="n"/>
      <c r="B2" s="1093" t="n"/>
      <c r="C2" s="1093" t="n"/>
      <c r="D2" s="1093" t="n"/>
      <c r="E2" s="1093" t="n"/>
      <c r="F2" s="1093" t="n"/>
      <c r="G2" s="1093" t="n"/>
      <c r="H2" s="1093" t="n"/>
      <c r="I2" s="1093" t="n"/>
      <c r="J2" s="1093" t="n"/>
      <c r="K2" s="1093" t="n"/>
      <c r="L2" s="1093" t="n"/>
      <c r="M2" s="1093" t="n"/>
      <c r="N2" s="1093" t="n"/>
      <c r="O2" s="1093" t="n"/>
      <c r="P2" s="1093" t="n"/>
      <c r="Q2" s="1093" t="n"/>
      <c r="R2" s="1093" t="n"/>
      <c r="S2" s="1130">
        <f>R62</f>
        <v/>
      </c>
      <c r="T2" s="1602" t="n"/>
      <c r="U2" s="1602" t="n"/>
      <c r="V2" s="1602" t="n"/>
      <c r="W2" s="1602" t="n"/>
    </row>
    <row r="3" ht="15" customHeight="1" s="1339">
      <c r="A3" s="1828" t="inlineStr">
        <is>
          <t>Beer name</t>
        </is>
      </c>
      <c r="B3" s="1078" t="n"/>
      <c r="C3" s="1829">
        <f>'Gistkaart Invoer'!A4</f>
        <v/>
      </c>
      <c r="H3" s="1083" t="n"/>
      <c r="I3" s="1830" t="inlineStr">
        <is>
          <t>Batchnummer:</t>
        </is>
      </c>
      <c r="J3" s="1078" t="n"/>
      <c r="K3" s="1078" t="n"/>
      <c r="L3" s="1831">
        <f>'Recept-voorblad'!K3</f>
        <v/>
      </c>
      <c r="P3" s="1832" t="n"/>
      <c r="Q3" s="1833" t="n"/>
      <c r="R3" s="1834" t="n"/>
      <c r="S3" s="1602" t="n"/>
      <c r="T3" s="1602" t="n"/>
      <c r="U3" s="1602" t="n"/>
      <c r="V3" s="1602" t="n"/>
      <c r="W3" s="1602" t="n"/>
    </row>
    <row r="4" ht="15" customHeight="1" s="1339">
      <c r="A4" s="1108" t="n"/>
      <c r="B4" s="1093" t="n"/>
      <c r="C4" s="1079" t="n"/>
      <c r="D4" s="1080" t="n"/>
      <c r="E4" s="1080" t="n"/>
      <c r="F4" s="1080" t="n"/>
      <c r="G4" s="1080" t="n"/>
      <c r="H4" s="1081" t="n"/>
      <c r="I4" s="1093" t="n"/>
      <c r="J4" s="1093" t="n"/>
      <c r="K4" s="1093" t="n"/>
      <c r="L4" s="1079" t="n"/>
      <c r="M4" s="1080" t="n"/>
      <c r="N4" s="1080" t="n"/>
      <c r="O4" s="1080" t="n"/>
      <c r="P4" s="1835" t="n"/>
      <c r="Q4" s="1602" t="n"/>
      <c r="R4" s="1836" t="n"/>
      <c r="S4" s="1837" t="inlineStr">
        <is>
          <t xml:space="preserve">Check before processing: </t>
        </is>
      </c>
      <c r="T4" s="1602" t="n"/>
      <c r="U4" s="1602" t="n"/>
      <c r="V4" s="1602" t="n"/>
      <c r="W4" s="1602" t="n"/>
    </row>
    <row r="5" ht="15.75" customHeight="1" s="1339">
      <c r="A5" s="1838" t="inlineStr">
        <is>
          <t xml:space="preserve">Specificaties </t>
        </is>
      </c>
      <c r="B5" s="1315" t="n"/>
      <c r="C5" s="1315" t="n"/>
      <c r="D5" s="1315" t="n"/>
      <c r="E5" s="1315" t="n"/>
      <c r="F5" s="1315" t="n"/>
      <c r="G5" s="1315" t="n"/>
      <c r="H5" s="1315" t="n"/>
      <c r="I5" s="1315" t="n"/>
      <c r="J5" s="1315" t="n"/>
      <c r="K5" s="1315" t="n"/>
      <c r="L5" s="1315" t="n"/>
      <c r="M5" s="1315" t="n"/>
      <c r="N5" s="1315" t="n"/>
      <c r="O5" s="1315" t="n"/>
      <c r="P5" s="1839" t="inlineStr">
        <is>
          <t>Beer risk category</t>
        </is>
      </c>
      <c r="Q5" s="1315" t="n"/>
      <c r="R5" s="1316" t="n"/>
      <c r="S5" s="1602" t="n"/>
      <c r="T5" s="1602" t="inlineStr">
        <is>
          <t>- Minimum maturation = 5 days.</t>
        </is>
      </c>
      <c r="U5" s="1602" t="n"/>
      <c r="V5" s="1602" t="n"/>
      <c r="W5" s="1602" t="n"/>
    </row>
    <row r="6" ht="15" customFormat="1" customHeight="1" s="1840">
      <c r="A6" s="1841" t="inlineStr">
        <is>
          <t>Parameter</t>
        </is>
      </c>
      <c r="B6" s="1842" t="n"/>
      <c r="C6" s="1843" t="n"/>
      <c r="D6" s="1844" t="inlineStr">
        <is>
          <t>unit</t>
        </is>
      </c>
      <c r="E6" s="1844" t="inlineStr">
        <is>
          <t>spec,</t>
        </is>
      </c>
      <c r="F6" s="1316" t="n"/>
      <c r="G6" s="1844" t="inlineStr">
        <is>
          <t>+/-</t>
        </is>
      </c>
      <c r="H6" s="1845" t="inlineStr">
        <is>
          <t>Parameter</t>
        </is>
      </c>
      <c r="I6" s="1315" t="n"/>
      <c r="J6" s="1315" t="n"/>
      <c r="K6" s="1315" t="n"/>
      <c r="L6" s="1316" t="n"/>
      <c r="M6" s="1844" t="inlineStr">
        <is>
          <t>unit</t>
        </is>
      </c>
      <c r="N6" s="1844" t="inlineStr">
        <is>
          <t>spec,</t>
        </is>
      </c>
      <c r="O6" s="1846" t="inlineStr">
        <is>
          <t>+/-</t>
        </is>
      </c>
      <c r="P6" s="1847">
        <f>'Recept-voorblad'!N17</f>
        <v/>
      </c>
      <c r="Q6" s="1075" t="n"/>
      <c r="R6" s="1076" t="n"/>
      <c r="S6" s="2214" t="n"/>
      <c r="T6" s="1849" t="inlineStr">
        <is>
          <t>- Cellar adds completed</t>
        </is>
      </c>
      <c r="U6" s="1849" t="n"/>
      <c r="V6" s="1602" t="n"/>
      <c r="W6" s="1602" t="n"/>
    </row>
    <row r="7" ht="15" customFormat="1" customHeight="1" s="1840">
      <c r="A7" s="1850" t="inlineStr">
        <is>
          <t>Turbidity after centrifuge</t>
        </is>
      </c>
      <c r="B7" s="1106" t="n"/>
      <c r="C7" s="1107" t="n"/>
      <c r="D7" s="1851" t="inlineStr">
        <is>
          <t>EBC</t>
        </is>
      </c>
      <c r="E7" s="1124">
        <f>'Recept-voorblad'!M25</f>
        <v/>
      </c>
      <c r="F7" s="1076" t="n"/>
      <c r="G7" s="1852">
        <f>'Recept-voorblad'!L25</f>
        <v/>
      </c>
      <c r="H7" s="1853" t="inlineStr">
        <is>
          <t>CO2 spec HBT bottle</t>
        </is>
      </c>
      <c r="I7" s="1106" t="n"/>
      <c r="J7" s="1106" t="n"/>
      <c r="K7" s="1106" t="n"/>
      <c r="L7" s="1107" t="n"/>
      <c r="M7" s="1854" t="inlineStr">
        <is>
          <t>g/l</t>
        </is>
      </c>
      <c r="N7" s="1122">
        <f>'Recept-voorblad'!M13</f>
        <v/>
      </c>
      <c r="O7" s="1855">
        <f>'Recept-voorblad'!L13-0.1</f>
        <v/>
      </c>
      <c r="P7" s="1160" t="n"/>
      <c r="R7" s="1083" t="n"/>
      <c r="S7" s="2214" t="n"/>
      <c r="T7" s="1849" t="inlineStr">
        <is>
          <t>- CO2 spec bottle &amp; can both in SAME HBT =</t>
        </is>
      </c>
      <c r="U7" s="1849" t="n"/>
      <c r="V7" s="1602" t="n"/>
      <c r="W7" s="1602" t="n"/>
    </row>
    <row r="8" ht="15" customFormat="1" customHeight="1" s="1840">
      <c r="A8" s="1856" t="inlineStr">
        <is>
          <t>Pasteurisation</t>
        </is>
      </c>
      <c r="B8" s="1078" t="n"/>
      <c r="C8" s="1087" t="n"/>
      <c r="D8" s="1851" t="inlineStr">
        <is>
          <t>PU</t>
        </is>
      </c>
      <c r="E8" s="1129">
        <f>'Recept-voorblad'!M24</f>
        <v/>
      </c>
      <c r="F8" s="1083" t="n"/>
      <c r="G8" s="1857" t="n">
        <v>2</v>
      </c>
      <c r="H8" s="1858" t="inlineStr">
        <is>
          <t>CO2  spec HBT KEG</t>
        </is>
      </c>
      <c r="I8" s="1078" t="n"/>
      <c r="J8" s="1078" t="n"/>
      <c r="K8" s="1078" t="n"/>
      <c r="L8" s="1087" t="n"/>
      <c r="M8" s="1854" t="inlineStr">
        <is>
          <t>g/l</t>
        </is>
      </c>
      <c r="N8" s="1127">
        <f>'Recept-voorblad'!M15</f>
        <v/>
      </c>
      <c r="O8" s="1855">
        <f>'Recept-voorblad'!L15+0.2</f>
        <v/>
      </c>
      <c r="P8" s="1160" t="n"/>
      <c r="R8" s="1083" t="n"/>
      <c r="S8" s="2214" t="n"/>
      <c r="T8" s="1849" t="inlineStr">
        <is>
          <t xml:space="preserve"> middle between both specs </t>
        </is>
      </c>
      <c r="U8" s="1849" t="n"/>
      <c r="V8" s="1602" t="n"/>
      <c r="W8" s="1602" t="n"/>
    </row>
    <row r="9" ht="15" customFormat="1" customHeight="1" s="1840">
      <c r="A9" s="1859" t="inlineStr">
        <is>
          <t>O2 in HBT</t>
        </is>
      </c>
      <c r="B9" s="1093" t="n"/>
      <c r="C9" s="1094" t="n"/>
      <c r="D9" s="1851" t="inlineStr">
        <is>
          <t>ppb</t>
        </is>
      </c>
      <c r="E9" s="1860" t="n">
        <v>50</v>
      </c>
      <c r="F9" s="1094" t="n"/>
      <c r="G9" s="1861" t="inlineStr">
        <is>
          <t>&lt;</t>
        </is>
      </c>
      <c r="H9" s="1856" t="inlineStr">
        <is>
          <t>CO2 spec HBT  Can</t>
        </is>
      </c>
      <c r="I9" s="1078" t="n"/>
      <c r="J9" s="1078" t="n"/>
      <c r="K9" s="1078" t="n"/>
      <c r="L9" s="1087" t="n"/>
      <c r="M9" s="1854" t="n"/>
      <c r="N9" s="1862">
        <f>'Recept-voorblad'!M14</f>
        <v/>
      </c>
      <c r="O9" s="1863">
        <f>'Recept-voorblad'!L14-0.1</f>
        <v/>
      </c>
      <c r="P9" s="1079" t="n"/>
      <c r="Q9" s="1080" t="n"/>
      <c r="R9" s="1081" t="n"/>
      <c r="S9" s="2214" t="n"/>
      <c r="T9" s="1849" t="n"/>
      <c r="U9" s="1849" t="n"/>
      <c r="V9" s="1602" t="n"/>
      <c r="W9" s="1602" t="n"/>
    </row>
    <row r="10" ht="18.75" customHeight="1" s="1339">
      <c r="A10" s="1839" t="inlineStr">
        <is>
          <t>Lagering</t>
        </is>
      </c>
      <c r="B10" s="1315" t="n"/>
      <c r="C10" s="1315" t="n"/>
      <c r="D10" s="1315" t="n"/>
      <c r="E10" s="1315" t="n"/>
      <c r="F10" s="1315" t="n"/>
      <c r="G10" s="1315" t="n"/>
      <c r="H10" s="1315" t="n"/>
      <c r="I10" s="1315" t="n"/>
      <c r="J10" s="1315" t="n"/>
      <c r="K10" s="1315" t="n"/>
      <c r="L10" s="1315" t="n"/>
      <c r="M10" s="1315" t="n"/>
      <c r="N10" s="1315" t="n"/>
      <c r="O10" s="1315" t="n"/>
      <c r="P10" s="1315" t="n"/>
      <c r="Q10" s="1315" t="n"/>
      <c r="R10" s="1316" t="n"/>
      <c r="S10" s="1849" t="n"/>
      <c r="T10" s="1849" t="n"/>
      <c r="U10" s="1849" t="n"/>
      <c r="V10" s="1849" t="n"/>
      <c r="W10" s="1864" t="n"/>
    </row>
    <row r="11" ht="18.75" customHeight="1" s="1339">
      <c r="A11" s="1865" t="inlineStr">
        <is>
          <t>O.G. GLT</t>
        </is>
      </c>
      <c r="B11" s="1315" t="n"/>
      <c r="C11" s="1866" t="n"/>
      <c r="D11" s="1867" t="inlineStr">
        <is>
          <t>O2</t>
        </is>
      </c>
      <c r="E11" s="1094" t="n"/>
      <c r="F11" s="1868" t="inlineStr">
        <is>
          <t>CO2</t>
        </is>
      </c>
      <c r="G11" s="1094" t="n"/>
      <c r="H11" s="1869" t="inlineStr">
        <is>
          <t>Start date lagering</t>
        </is>
      </c>
      <c r="I11" s="1315" t="n"/>
      <c r="J11" s="1315" t="n"/>
      <c r="K11" s="1315" t="n"/>
      <c r="L11" s="1315" t="n"/>
      <c r="M11" s="1316" t="n"/>
      <c r="N11" s="1870" t="n"/>
      <c r="O11" s="1106" t="n"/>
      <c r="P11" s="1106" t="n"/>
      <c r="Q11" s="1106" t="n"/>
      <c r="R11" s="1107" t="n"/>
      <c r="S11" s="1602" t="n"/>
      <c r="T11" s="1602" t="n"/>
      <c r="U11" s="1602" t="n"/>
      <c r="V11" s="1849" t="n"/>
      <c r="W11" s="1864" t="n"/>
    </row>
    <row r="12" ht="15" customHeight="1" s="1339">
      <c r="A12" s="1845" t="inlineStr">
        <is>
          <t>Measurement after pushing over:</t>
        </is>
      </c>
      <c r="B12" s="1315" t="n"/>
      <c r="C12" s="1316" t="n"/>
      <c r="D12" s="1866" t="n"/>
      <c r="E12" s="1871" t="inlineStr">
        <is>
          <t>ppb</t>
        </is>
      </c>
      <c r="F12" s="1872" t="n"/>
      <c r="G12" s="1871" t="inlineStr">
        <is>
          <t>g/l</t>
        </is>
      </c>
      <c r="H12" s="1844" t="inlineStr">
        <is>
          <t>Days on lagering</t>
        </is>
      </c>
      <c r="I12" s="1315" t="n"/>
      <c r="J12" s="1315" t="n"/>
      <c r="K12" s="1315" t="n"/>
      <c r="L12" s="1315" t="n"/>
      <c r="M12" s="1316" t="n"/>
      <c r="N12" s="1873">
        <f>IF(D16="","",(D16-N11))</f>
        <v/>
      </c>
      <c r="O12" s="1114" t="n"/>
      <c r="P12" s="1845" t="inlineStr">
        <is>
          <t>days</t>
        </is>
      </c>
      <c r="Q12" s="1315" t="n"/>
      <c r="R12" s="1316" t="n"/>
      <c r="S12" s="1602" t="n"/>
      <c r="T12" s="1602" t="n"/>
      <c r="U12" s="1602" t="n"/>
      <c r="V12" s="1602" t="n"/>
      <c r="W12" s="1602" t="n"/>
    </row>
    <row r="13" ht="15.75" customHeight="1" s="1339">
      <c r="A13" s="1839" t="inlineStr">
        <is>
          <t>Verwerking</t>
        </is>
      </c>
      <c r="B13" s="1315" t="n"/>
      <c r="C13" s="1315" t="n"/>
      <c r="D13" s="1315" t="n"/>
      <c r="E13" s="1315" t="n"/>
      <c r="F13" s="1315" t="n"/>
      <c r="G13" s="1315" t="n"/>
      <c r="H13" s="1315" t="n"/>
      <c r="I13" s="1315" t="n"/>
      <c r="J13" s="1315" t="n"/>
      <c r="K13" s="1315" t="n"/>
      <c r="L13" s="1315" t="n"/>
      <c r="M13" s="1315" t="n"/>
      <c r="N13" s="1315" t="n"/>
      <c r="O13" s="1315" t="n"/>
      <c r="P13" s="1315" t="n"/>
      <c r="Q13" s="1315" t="n"/>
      <c r="R13" s="1316" t="n"/>
      <c r="S13" s="1602" t="n"/>
      <c r="T13" s="1602" t="n"/>
      <c r="U13" s="1602" t="n"/>
      <c r="V13" s="1602" t="n"/>
      <c r="W13" s="1602" t="n"/>
    </row>
    <row r="14" ht="15" customHeight="1" s="1339">
      <c r="A14" s="1874" t="inlineStr">
        <is>
          <t>Name operator start</t>
        </is>
      </c>
      <c r="B14" s="1315" t="n"/>
      <c r="C14" s="1316" t="n"/>
      <c r="D14" s="2209" t="n"/>
      <c r="E14" s="1315" t="n"/>
      <c r="F14" s="1315" t="n"/>
      <c r="G14" s="1315" t="n"/>
      <c r="H14" s="1316" t="n"/>
      <c r="I14" s="1871" t="inlineStr">
        <is>
          <t>Start of processing:</t>
        </is>
      </c>
      <c r="J14" s="1315" t="n"/>
      <c r="K14" s="1315" t="n"/>
      <c r="L14" s="1315" t="n"/>
      <c r="M14" s="1315" t="n"/>
      <c r="N14" s="1315" t="n"/>
      <c r="O14" s="1316" t="n"/>
      <c r="P14" s="1875" t="n"/>
      <c r="Q14" s="1315" t="n"/>
      <c r="R14" s="1316" t="n"/>
      <c r="S14" s="1602" t="n"/>
      <c r="T14" s="1602" t="n"/>
      <c r="U14" s="1602" t="n"/>
      <c r="V14" s="1602" t="n"/>
      <c r="W14" s="1602" t="n"/>
    </row>
    <row r="15" ht="15" customHeight="1" s="1339">
      <c r="A15" s="1841" t="inlineStr">
        <is>
          <t>Name operator end</t>
        </is>
      </c>
      <c r="B15" s="1876" t="n"/>
      <c r="C15" s="1876" t="n"/>
      <c r="D15" s="2209" t="n"/>
      <c r="E15" s="1315" t="n"/>
      <c r="F15" s="1315" t="n"/>
      <c r="G15" s="1315" t="n"/>
      <c r="H15" s="1316" t="n"/>
      <c r="I15" s="1871" t="inlineStr">
        <is>
          <t>End of processing:</t>
        </is>
      </c>
      <c r="J15" s="1315" t="n"/>
      <c r="K15" s="1315" t="n"/>
      <c r="L15" s="1315" t="n"/>
      <c r="M15" s="1315" t="n"/>
      <c r="N15" s="1315" t="n"/>
      <c r="O15" s="1316" t="n"/>
      <c r="P15" s="1875" t="n"/>
      <c r="Q15" s="1315" t="n"/>
      <c r="R15" s="1316" t="n"/>
      <c r="S15" s="1602" t="inlineStr">
        <is>
          <t>Attention: put Alcohol as vol% (=ABV%)</t>
        </is>
      </c>
      <c r="T15" s="1602" t="n"/>
      <c r="U15" s="1602" t="n"/>
      <c r="V15" s="1602" t="n"/>
      <c r="W15" s="1602" t="n"/>
    </row>
    <row r="16" ht="15" customHeight="1" s="1339">
      <c r="A16" s="1874" t="inlineStr">
        <is>
          <t>Date of processing</t>
        </is>
      </c>
      <c r="B16" s="1315" t="n"/>
      <c r="C16" s="1316" t="n"/>
      <c r="D16" s="2209" t="n"/>
      <c r="E16" s="1315" t="n"/>
      <c r="F16" s="1315" t="n"/>
      <c r="G16" s="1315" t="n"/>
      <c r="H16" s="1316" t="n"/>
      <c r="I16" s="1871" t="inlineStr">
        <is>
          <t>Duration of processing:</t>
        </is>
      </c>
      <c r="J16" s="1315" t="n"/>
      <c r="K16" s="1315" t="n"/>
      <c r="L16" s="1315" t="n"/>
      <c r="M16" s="1315" t="n"/>
      <c r="N16" s="1315" t="n"/>
      <c r="O16" s="1316" t="n"/>
      <c r="P16" s="1877">
        <f>IF(P15="","",(P15-P14))</f>
        <v/>
      </c>
      <c r="Q16" s="1114" t="n"/>
      <c r="R16" s="1115" t="n"/>
      <c r="S16" s="1602" t="inlineStr">
        <is>
          <t>Volume Mooie Nel</t>
        </is>
      </c>
      <c r="T16" s="1602" t="n"/>
      <c r="U16" s="1763" t="inlineStr">
        <is>
          <t>--&gt;</t>
        </is>
      </c>
      <c r="V16" s="1763" t="n">
        <v>950</v>
      </c>
      <c r="W16" s="1602" t="inlineStr">
        <is>
          <t>liter</t>
        </is>
      </c>
    </row>
    <row r="17" ht="15" customHeight="1" s="1339">
      <c r="A17" s="1844" t="n"/>
      <c r="B17" s="1315" t="n"/>
      <c r="C17" s="1315" t="n"/>
      <c r="D17" s="1315" t="n"/>
      <c r="E17" s="1315" t="n"/>
      <c r="F17" s="1315" t="n"/>
      <c r="G17" s="1315" t="n"/>
      <c r="H17" s="1315" t="n"/>
      <c r="I17" s="1315" t="n"/>
      <c r="J17" s="1315" t="n"/>
      <c r="K17" s="1315" t="n"/>
      <c r="L17" s="1315" t="n"/>
      <c r="M17" s="1315" t="n"/>
      <c r="N17" s="1315" t="n"/>
      <c r="O17" s="1315" t="n"/>
      <c r="P17" s="1315" t="n"/>
      <c r="Q17" s="1315" t="n"/>
      <c r="R17" s="1316" t="n"/>
      <c r="S17" s="1159" t="inlineStr">
        <is>
          <t>Alcohol Mooie Nel - batch</t>
        </is>
      </c>
      <c r="T17" s="1159" t="n"/>
      <c r="U17" s="1761">
        <f>V22</f>
        <v/>
      </c>
      <c r="V17" s="1764" t="n">
        <v>6.95</v>
      </c>
      <c r="W17" s="1159" t="inlineStr">
        <is>
          <t>%ABV</t>
        </is>
      </c>
    </row>
    <row r="18" ht="15" customHeight="1" s="1339">
      <c r="A18" s="1859" t="inlineStr">
        <is>
          <t>Processed from (G)LT:</t>
        </is>
      </c>
      <c r="B18" s="1093" t="n"/>
      <c r="C18" s="1094" t="n"/>
      <c r="D18" s="1878" t="n"/>
      <c r="E18" s="1093" t="n"/>
      <c r="F18" s="1094" t="n"/>
      <c r="G18" s="1879" t="inlineStr">
        <is>
          <t>Standpijp</t>
        </is>
      </c>
      <c r="H18" s="1093" t="n"/>
      <c r="I18" s="1094" t="n"/>
      <c r="J18" s="1880" t="inlineStr">
        <is>
          <t>General info</t>
        </is>
      </c>
      <c r="K18" s="1093" t="n"/>
      <c r="L18" s="1093" t="n"/>
      <c r="M18" s="1093" t="n"/>
      <c r="N18" s="1093" t="n"/>
      <c r="O18" s="1093" t="n"/>
      <c r="P18" s="1093" t="n"/>
      <c r="Q18" s="1093" t="n"/>
      <c r="R18" s="1094" t="n"/>
      <c r="S18" s="1159" t="inlineStr">
        <is>
          <t>Gewenste alcohol Super Dupa --&gt;</t>
        </is>
      </c>
      <c r="T18" s="1159" t="n"/>
      <c r="U18" s="1159" t="n"/>
      <c r="V18" s="1881" t="n">
        <v>5.5</v>
      </c>
      <c r="W18" s="1159" t="inlineStr">
        <is>
          <t>%ABV</t>
        </is>
      </c>
    </row>
    <row r="19" ht="15" customHeight="1" s="1339">
      <c r="A19" s="1882" t="n"/>
      <c r="B19" s="1315" t="n"/>
      <c r="C19" s="1316" t="n"/>
      <c r="D19" s="1844" t="inlineStr">
        <is>
          <t>O2</t>
        </is>
      </c>
      <c r="E19" s="1315" t="n"/>
      <c r="F19" s="1316" t="n"/>
      <c r="G19" s="1844" t="inlineStr">
        <is>
          <t>CO2</t>
        </is>
      </c>
      <c r="H19" s="1315" t="n"/>
      <c r="I19" s="1316" t="n"/>
      <c r="J19" s="1883" t="n"/>
      <c r="K19" s="1315" t="n"/>
      <c r="L19" s="1315" t="n"/>
      <c r="M19" s="1315" t="n"/>
      <c r="N19" s="1315" t="n"/>
      <c r="O19" s="1315" t="n"/>
      <c r="P19" s="1315" t="n"/>
      <c r="Q19" s="1315" t="n"/>
      <c r="R19" s="1316" t="n"/>
      <c r="S19" s="1159" t="inlineStr">
        <is>
          <t>Volume after dilution</t>
        </is>
      </c>
      <c r="T19" s="1159" t="n"/>
      <c r="U19" s="1159" t="n"/>
      <c r="V19" s="1884">
        <f>(V16+V20)</f>
        <v/>
      </c>
      <c r="W19" s="1159" t="inlineStr">
        <is>
          <t>liter</t>
        </is>
      </c>
    </row>
    <row r="20" ht="15" customHeight="1" s="1339">
      <c r="A20" s="1850" t="inlineStr">
        <is>
          <t>Values in (G)LT before start</t>
        </is>
      </c>
      <c r="B20" s="1106" t="n"/>
      <c r="C20" s="1107" t="n"/>
      <c r="D20" s="1885" t="n"/>
      <c r="E20" s="1886" t="n"/>
      <c r="F20" s="1887" t="inlineStr">
        <is>
          <t>ppb</t>
        </is>
      </c>
      <c r="G20" s="1885" t="n"/>
      <c r="H20" s="1886" t="n"/>
      <c r="I20" s="1888" t="inlineStr">
        <is>
          <t>g/l</t>
        </is>
      </c>
      <c r="J20" s="1845" t="inlineStr">
        <is>
          <t>Losses</t>
        </is>
      </c>
      <c r="K20" s="1316" t="n"/>
      <c r="L20" s="1889" t="n">
        <v>1</v>
      </c>
      <c r="M20" s="1844" t="inlineStr">
        <is>
          <t>frequency</t>
        </is>
      </c>
      <c r="N20" s="1316" t="n"/>
      <c r="O20" s="1890" t="n">
        <v>10</v>
      </c>
      <c r="P20" s="1316" t="n"/>
      <c r="Q20" s="1844" t="inlineStr">
        <is>
          <t>Minutes</t>
        </is>
      </c>
      <c r="R20" s="1316" t="n"/>
      <c r="S20" s="1159" t="inlineStr">
        <is>
          <t xml:space="preserve"> to be added amount of water</t>
        </is>
      </c>
      <c r="T20" s="1159" t="n"/>
      <c r="U20" s="1159" t="n"/>
      <c r="V20" s="1884">
        <f>(V17-V18)*V16/V18</f>
        <v/>
      </c>
      <c r="W20" s="1159" t="inlineStr">
        <is>
          <t>liter</t>
        </is>
      </c>
    </row>
    <row r="21" ht="15" customHeight="1" s="1339">
      <c r="A21" s="1856" t="inlineStr">
        <is>
          <t>Centrifuge start out</t>
        </is>
      </c>
      <c r="B21" s="1078" t="n"/>
      <c r="C21" s="1087" t="n"/>
      <c r="D21" s="1891" t="n"/>
      <c r="E21" s="1892" t="n"/>
      <c r="F21" s="1887" t="inlineStr">
        <is>
          <t>ppb</t>
        </is>
      </c>
      <c r="G21" s="1893" t="n"/>
      <c r="H21" s="1892" t="n"/>
      <c r="I21" s="1888" t="inlineStr">
        <is>
          <t>g/l</t>
        </is>
      </c>
      <c r="J21" s="1871" t="inlineStr">
        <is>
          <t>Flow [hl/u]</t>
        </is>
      </c>
      <c r="K21" s="1315" t="n"/>
      <c r="L21" s="1316" t="n"/>
      <c r="M21" s="1894" t="inlineStr">
        <is>
          <t>HL processed [hl]</t>
        </is>
      </c>
      <c r="N21" s="1315" t="n"/>
      <c r="O21" s="1316" t="n"/>
      <c r="P21" s="1869" t="inlineStr">
        <is>
          <t>Turbidity [EBC]</t>
        </is>
      </c>
      <c r="Q21" s="1316" t="n"/>
      <c r="R21" s="1895" t="inlineStr">
        <is>
          <t>Bypass [%]</t>
        </is>
      </c>
      <c r="S21" s="1159" t="n"/>
      <c r="T21" s="1896" t="n"/>
      <c r="U21" s="1159" t="n"/>
      <c r="V21" s="1159" t="n"/>
      <c r="W21" s="1159" t="n"/>
    </row>
    <row r="22" ht="15" customHeight="1" s="1339">
      <c r="A22" s="1897" t="n"/>
      <c r="B22" s="1078" t="n"/>
      <c r="C22" s="1087" t="n"/>
      <c r="D22" s="1898" t="n"/>
      <c r="E22" s="1892" t="n"/>
      <c r="F22" s="1899" t="inlineStr">
        <is>
          <t>ppb</t>
        </is>
      </c>
      <c r="G22" s="1898" t="n"/>
      <c r="H22" s="1892" t="n"/>
      <c r="I22" s="1900" t="inlineStr">
        <is>
          <t>g/l</t>
        </is>
      </c>
      <c r="J22" s="1890" t="n"/>
      <c r="K22" s="1315" t="n"/>
      <c r="L22" s="1316" t="n"/>
      <c r="M22" s="1890" t="n"/>
      <c r="N22" s="1315" t="n"/>
      <c r="O22" s="1316" t="n"/>
      <c r="P22" s="1890" t="n"/>
      <c r="Q22" s="1316" t="n"/>
      <c r="R22" s="1890" t="n"/>
      <c r="S22" s="1159" t="inlineStr">
        <is>
          <t>Made from batch Mooie Nel</t>
        </is>
      </c>
      <c r="T22" s="1159" t="n"/>
      <c r="U22" s="1159" t="n"/>
      <c r="V22" s="1159" t="n"/>
      <c r="W22" s="1159" t="n"/>
    </row>
    <row r="23" ht="15" customHeight="1" s="1339">
      <c r="A23" s="1897" t="n"/>
      <c r="B23" s="1078" t="n"/>
      <c r="C23" s="1087" t="n"/>
      <c r="D23" s="1898" t="n"/>
      <c r="E23" s="1892" t="n"/>
      <c r="F23" s="1899" t="inlineStr">
        <is>
          <t>ppb</t>
        </is>
      </c>
      <c r="G23" s="1898" t="n"/>
      <c r="H23" s="1892" t="n"/>
      <c r="I23" s="1900" t="inlineStr">
        <is>
          <t>g/l</t>
        </is>
      </c>
      <c r="J23" s="1890" t="n"/>
      <c r="K23" s="1315" t="n"/>
      <c r="L23" s="1316" t="n"/>
      <c r="M23" s="1890" t="n"/>
      <c r="N23" s="1315" t="n"/>
      <c r="O23" s="1316" t="n"/>
      <c r="P23" s="1890" t="n"/>
      <c r="Q23" s="1316" t="n"/>
      <c r="R23" s="1890" t="n"/>
      <c r="S23" s="1159" t="inlineStr">
        <is>
          <t>Effective pushed-over volume</t>
        </is>
      </c>
      <c r="T23" s="1159" t="n"/>
      <c r="U23" s="1159" t="n"/>
      <c r="V23" s="1159" t="n"/>
      <c r="W23" s="1159" t="inlineStr">
        <is>
          <t>liter</t>
        </is>
      </c>
    </row>
    <row r="24" ht="15" customHeight="1" s="1339">
      <c r="A24" s="1880" t="n"/>
      <c r="B24" s="1093" t="n"/>
      <c r="C24" s="1094" t="n"/>
      <c r="D24" s="1901" t="n"/>
      <c r="E24" s="1093" t="n"/>
      <c r="F24" s="1902" t="inlineStr">
        <is>
          <t>ppb</t>
        </is>
      </c>
      <c r="G24" s="1901" t="n"/>
      <c r="H24" s="1093" t="n"/>
      <c r="I24" s="1903" t="inlineStr">
        <is>
          <t>g/l</t>
        </is>
      </c>
      <c r="J24" s="1904" t="n"/>
      <c r="K24" s="1315" t="n"/>
      <c r="L24" s="1316" t="n"/>
      <c r="M24" s="1904" t="n"/>
      <c r="N24" s="1315" t="n"/>
      <c r="O24" s="1316" t="n"/>
      <c r="P24" s="1890" t="n"/>
      <c r="Q24" s="1316" t="n"/>
      <c r="R24" s="1890" t="n"/>
      <c r="S24" s="1159" t="inlineStr">
        <is>
          <t>Effective water added</t>
        </is>
      </c>
      <c r="T24" s="1159" t="n"/>
      <c r="U24" s="1159" t="n"/>
      <c r="V24" s="1159" t="n"/>
      <c r="W24" s="1159" t="inlineStr">
        <is>
          <t>liter</t>
        </is>
      </c>
    </row>
    <row r="25" ht="15" customHeight="1" s="1339">
      <c r="A25" s="1842" t="inlineStr">
        <is>
          <t>Pasteurised with</t>
        </is>
      </c>
      <c r="B25" s="1905" t="n"/>
      <c r="C25" s="1843" t="n"/>
      <c r="D25" s="1906" t="n"/>
      <c r="E25" s="1316" t="n"/>
      <c r="F25" s="1876" t="inlineStr">
        <is>
          <t>PU</t>
        </is>
      </c>
      <c r="G25" s="1907" t="inlineStr">
        <is>
          <t>Avg. Temp out</t>
        </is>
      </c>
      <c r="H25" s="1315" t="n"/>
      <c r="I25" s="1316" t="n"/>
      <c r="J25" s="1904" t="n"/>
      <c r="K25" s="1316" t="n"/>
      <c r="L25" s="1876" t="inlineStr">
        <is>
          <t>°C</t>
        </is>
      </c>
      <c r="M25" s="1871" t="inlineStr">
        <is>
          <t>Avg. Turbidity</t>
        </is>
      </c>
      <c r="N25" s="1315" t="n"/>
      <c r="O25" s="1316" t="n"/>
      <c r="P25" s="1890" t="n"/>
      <c r="Q25" s="1316" t="n"/>
      <c r="R25" s="1908" t="inlineStr">
        <is>
          <t>EBC</t>
        </is>
      </c>
      <c r="S25" s="1159" t="n"/>
      <c r="T25" s="1159" t="inlineStr">
        <is>
          <t>fill in all yellow cells</t>
        </is>
      </c>
      <c r="U25" s="1159" t="n"/>
      <c r="V25" s="1159" t="n"/>
      <c r="W25" s="1159" t="n"/>
    </row>
    <row r="26" ht="15" customHeight="1" s="1339">
      <c r="A26" s="1909" t="inlineStr">
        <is>
          <t>Time [hh:mm]</t>
        </is>
      </c>
      <c r="B26" s="1316" t="n"/>
      <c r="C26" s="1909" t="inlineStr">
        <is>
          <t>Comments processing</t>
        </is>
      </c>
      <c r="D26" s="1315" t="n"/>
      <c r="E26" s="1315" t="n"/>
      <c r="F26" s="1315" t="n"/>
      <c r="G26" s="1315" t="n"/>
      <c r="H26" s="1315" t="n"/>
      <c r="I26" s="1315" t="n"/>
      <c r="J26" s="1315" t="n"/>
      <c r="K26" s="1315" t="n"/>
      <c r="L26" s="1315" t="n"/>
      <c r="M26" s="1315" t="n"/>
      <c r="N26" s="1315" t="n"/>
      <c r="O26" s="1315" t="n"/>
      <c r="P26" s="1315" t="n"/>
      <c r="Q26" s="1315" t="n"/>
      <c r="R26" s="1316" t="n"/>
      <c r="S26" s="1159" t="n"/>
      <c r="T26" s="1159" t="n"/>
      <c r="U26" s="1159" t="n"/>
      <c r="V26" s="1159" t="n"/>
      <c r="W26" s="1159" t="n"/>
    </row>
    <row r="27" ht="15" customHeight="1" s="1339">
      <c r="A27" s="1904" t="n"/>
      <c r="B27" s="1316" t="n"/>
      <c r="C27" s="1910" t="n"/>
      <c r="D27" s="1315" t="n"/>
      <c r="E27" s="1315" t="n"/>
      <c r="F27" s="1315" t="n"/>
      <c r="G27" s="1315" t="n"/>
      <c r="H27" s="1315" t="n"/>
      <c r="I27" s="1315" t="n"/>
      <c r="J27" s="1315" t="n"/>
      <c r="K27" s="1315" t="n"/>
      <c r="L27" s="1315" t="n"/>
      <c r="M27" s="1315" t="n"/>
      <c r="N27" s="1315" t="n"/>
      <c r="O27" s="1315" t="n"/>
      <c r="P27" s="1315" t="n"/>
      <c r="Q27" s="1315" t="n"/>
      <c r="R27" s="1316" t="n"/>
      <c r="S27" s="1159" t="n"/>
      <c r="T27" s="1159" t="n"/>
      <c r="U27" s="1159" t="n"/>
      <c r="V27" s="1159" t="n"/>
      <c r="W27" s="1159" t="n"/>
    </row>
    <row r="28" ht="15" customHeight="1" s="1339">
      <c r="A28" s="1904" t="n"/>
      <c r="B28" s="1316" t="n"/>
      <c r="C28" s="1910" t="n"/>
      <c r="D28" s="1315" t="n"/>
      <c r="E28" s="1315" t="n"/>
      <c r="F28" s="1315" t="n"/>
      <c r="G28" s="1315" t="n"/>
      <c r="H28" s="1315" t="n"/>
      <c r="I28" s="1315" t="n"/>
      <c r="J28" s="1315" t="n"/>
      <c r="K28" s="1315" t="n"/>
      <c r="L28" s="1315" t="n"/>
      <c r="M28" s="1315" t="n"/>
      <c r="N28" s="1315" t="n"/>
      <c r="O28" s="1315" t="n"/>
      <c r="P28" s="1315" t="n"/>
      <c r="Q28" s="1315" t="n"/>
      <c r="R28" s="1316" t="n"/>
      <c r="S28" s="1159" t="n"/>
      <c r="T28" s="1159" t="n"/>
      <c r="U28" s="1159" t="n"/>
      <c r="V28" s="1159" t="n"/>
      <c r="W28" s="1159" t="n"/>
    </row>
    <row r="29" ht="15" customHeight="1" s="1339">
      <c r="A29" s="1871" t="n"/>
      <c r="B29" s="1316" t="n"/>
      <c r="C29" s="1909" t="n"/>
      <c r="D29" s="1315" t="n"/>
      <c r="E29" s="1315" t="n"/>
      <c r="F29" s="1315" t="n"/>
      <c r="G29" s="1315" t="n"/>
      <c r="H29" s="1315" t="n"/>
      <c r="I29" s="1315" t="n"/>
      <c r="J29" s="1315" t="n"/>
      <c r="K29" s="1315" t="n"/>
      <c r="L29" s="1315" t="n"/>
      <c r="M29" s="1315" t="n"/>
      <c r="N29" s="1315" t="n"/>
      <c r="O29" s="1315" t="n"/>
      <c r="P29" s="1315" t="n"/>
      <c r="Q29" s="1315" t="n"/>
      <c r="R29" s="1316" t="n"/>
      <c r="S29" s="1159" t="n"/>
      <c r="T29" s="1159" t="n"/>
      <c r="U29" s="1159" t="n"/>
      <c r="V29" s="1159" t="n"/>
      <c r="W29" s="1159" t="n"/>
    </row>
    <row r="30" ht="15" customHeight="1" s="1339">
      <c r="A30" s="1871" t="n"/>
      <c r="B30" s="1316" t="n"/>
      <c r="C30" s="1909" t="n"/>
      <c r="D30" s="1315" t="n"/>
      <c r="E30" s="1315" t="n"/>
      <c r="F30" s="1315" t="n"/>
      <c r="G30" s="1315" t="n"/>
      <c r="H30" s="1315" t="n"/>
      <c r="I30" s="1315" t="n"/>
      <c r="J30" s="1315" t="n"/>
      <c r="K30" s="1315" t="n"/>
      <c r="L30" s="1315" t="n"/>
      <c r="M30" s="1315" t="n"/>
      <c r="N30" s="1315" t="n"/>
      <c r="O30" s="1315" t="n"/>
      <c r="P30" s="1315" t="n"/>
      <c r="Q30" s="1315" t="n"/>
      <c r="R30" s="1316" t="n"/>
      <c r="S30" s="1602" t="n"/>
      <c r="T30" s="1602" t="n"/>
      <c r="U30" s="1602" t="n"/>
      <c r="V30" s="1602" t="n"/>
      <c r="W30" s="1602" t="n"/>
    </row>
    <row r="31" ht="30" customHeight="1" s="1339">
      <c r="A31" s="1911" t="inlineStr">
        <is>
          <t>Comments tasting</t>
        </is>
      </c>
      <c r="B31" s="1316" t="n"/>
      <c r="C31" s="1912" t="n"/>
      <c r="D31" s="1315" t="n"/>
      <c r="E31" s="1315" t="n"/>
      <c r="F31" s="1315" t="n"/>
      <c r="G31" s="1315" t="n"/>
      <c r="H31" s="1315" t="n"/>
      <c r="I31" s="1315" t="n"/>
      <c r="J31" s="1315" t="n"/>
      <c r="K31" s="1315" t="n"/>
      <c r="L31" s="1315" t="n"/>
      <c r="M31" s="1315" t="n"/>
      <c r="N31" s="1315" t="n"/>
      <c r="O31" s="1315" t="n"/>
      <c r="P31" s="1316" t="n"/>
      <c r="Q31" s="1913" t="inlineStr">
        <is>
          <t>Go or
Not Go?</t>
        </is>
      </c>
      <c r="R31" s="1871" t="inlineStr">
        <is>
          <t>-</t>
        </is>
      </c>
      <c r="S31" s="1602" t="n"/>
      <c r="T31" s="1602" t="n"/>
      <c r="U31" s="1602" t="n"/>
      <c r="V31" s="1602" t="n"/>
      <c r="W31" s="1602" t="n"/>
    </row>
    <row r="32" ht="15.75" customHeight="1" s="1339">
      <c r="A32" s="1839" t="inlineStr">
        <is>
          <t>Bright beer tanks (HBT):</t>
        </is>
      </c>
      <c r="B32" s="1315" t="n"/>
      <c r="C32" s="1315" t="n"/>
      <c r="D32" s="1315" t="n"/>
      <c r="E32" s="1315" t="n"/>
      <c r="F32" s="1315" t="n"/>
      <c r="G32" s="1315" t="n"/>
      <c r="H32" s="1315" t="n"/>
      <c r="I32" s="1315" t="n"/>
      <c r="J32" s="1315" t="n"/>
      <c r="K32" s="1315" t="n"/>
      <c r="L32" s="1315" t="n"/>
      <c r="M32" s="1315" t="n"/>
      <c r="N32" s="1315" t="n"/>
      <c r="O32" s="1315" t="n"/>
      <c r="P32" s="1315" t="n"/>
      <c r="Q32" s="1315" t="n"/>
      <c r="R32" s="1316" t="n"/>
      <c r="S32" s="1602" t="n"/>
      <c r="T32" s="1602" t="n"/>
      <c r="U32" s="1602" t="n"/>
      <c r="V32" s="1602" t="n"/>
      <c r="W32" s="1602" t="n"/>
    </row>
    <row r="33" ht="15" customHeight="1" s="1339">
      <c r="A33" s="1842" t="n"/>
      <c r="B33" s="1905" t="n"/>
      <c r="C33" s="1905" t="n"/>
      <c r="D33" s="1914" t="n"/>
      <c r="E33" s="1914" t="n"/>
      <c r="F33" s="1915" t="n"/>
      <c r="G33" s="1914" t="n"/>
      <c r="H33" s="1914" t="n"/>
      <c r="I33" s="1915" t="n"/>
      <c r="J33" s="1905" t="n"/>
      <c r="K33" s="1905" t="n"/>
      <c r="L33" s="1843" t="n"/>
      <c r="M33" s="1844" t="inlineStr">
        <is>
          <t>Comments</t>
        </is>
      </c>
      <c r="N33" s="1315" t="n"/>
      <c r="O33" s="1315" t="n"/>
      <c r="P33" s="1315" t="n"/>
      <c r="Q33" s="1315" t="n"/>
      <c r="R33" s="1316" t="n"/>
      <c r="S33" s="1916" t="n"/>
      <c r="T33" s="1917" t="inlineStr">
        <is>
          <t>fill in yellow cells only</t>
        </is>
      </c>
      <c r="U33" s="1916" t="n"/>
      <c r="V33" s="1916" t="n"/>
      <c r="W33" s="1916" t="n"/>
    </row>
    <row r="34" ht="15" customHeight="1" s="1339">
      <c r="A34" s="1918" t="inlineStr">
        <is>
          <t>HBT</t>
        </is>
      </c>
      <c r="B34" s="1919" t="n"/>
      <c r="C34" s="1920" t="n"/>
      <c r="D34" s="1921" t="inlineStr">
        <is>
          <t>HL</t>
        </is>
      </c>
      <c r="E34" s="1920" t="n"/>
      <c r="F34" s="1922" t="inlineStr">
        <is>
          <t>ppb</t>
        </is>
      </c>
      <c r="G34" s="1923" t="n"/>
      <c r="H34" s="1924" t="n"/>
      <c r="I34" s="1922" t="inlineStr">
        <is>
          <t>g/l</t>
        </is>
      </c>
      <c r="J34" s="1925" t="inlineStr">
        <is>
          <t>Can</t>
        </is>
      </c>
      <c r="K34" s="1106" t="n"/>
      <c r="L34" s="1107" t="n"/>
      <c r="M34" s="1926" t="n"/>
      <c r="N34" s="1924" t="n"/>
      <c r="O34" s="1924" t="n"/>
      <c r="P34" s="1924" t="n"/>
      <c r="Q34" s="1924" t="n"/>
      <c r="R34" s="1927" t="n"/>
      <c r="S34" s="1602" t="n"/>
      <c r="T34" s="1762" t="inlineStr">
        <is>
          <t>NAGARDO ADD calculator #1</t>
        </is>
      </c>
      <c r="U34" s="1602" t="n"/>
      <c r="V34" s="1602" t="n"/>
      <c r="W34" s="1602" t="n"/>
    </row>
    <row r="35" ht="15" customHeight="1" s="1339">
      <c r="A35" s="1928" t="inlineStr">
        <is>
          <t>HBT</t>
        </is>
      </c>
      <c r="B35" s="1929" t="n"/>
      <c r="C35" s="1930" t="n"/>
      <c r="D35" s="1931" t="inlineStr">
        <is>
          <t>HL</t>
        </is>
      </c>
      <c r="E35" s="1930" t="n"/>
      <c r="F35" s="1899" t="inlineStr">
        <is>
          <t>ppb</t>
        </is>
      </c>
      <c r="G35" s="1932" t="n"/>
      <c r="H35" s="1933" t="n"/>
      <c r="I35" s="1899" t="inlineStr">
        <is>
          <t>g/l</t>
        </is>
      </c>
      <c r="J35" s="1934" t="inlineStr">
        <is>
          <t>Bottle</t>
        </is>
      </c>
      <c r="K35" s="1935" t="n"/>
      <c r="L35" s="1416" t="n"/>
      <c r="M35" s="1936" t="n"/>
      <c r="N35" s="1747" t="n"/>
      <c r="O35" s="1747" t="n"/>
      <c r="P35" s="1747" t="n"/>
      <c r="Q35" s="1747" t="n"/>
      <c r="R35" s="1892" t="n"/>
      <c r="S35" s="1602" t="inlineStr">
        <is>
          <t>Volume to process in HBT</t>
        </is>
      </c>
      <c r="T35" s="1602" t="n"/>
      <c r="U35" s="1937" t="n">
        <v>11</v>
      </c>
      <c r="V35" s="1937" t="n">
        <v>60</v>
      </c>
      <c r="W35" s="1602" t="inlineStr">
        <is>
          <t>HL</t>
        </is>
      </c>
    </row>
    <row r="36" ht="15" customHeight="1" s="1339">
      <c r="A36" s="1928" t="inlineStr">
        <is>
          <t>HBT</t>
        </is>
      </c>
      <c r="B36" s="1929" t="n"/>
      <c r="C36" s="1930" t="n"/>
      <c r="D36" s="1931" t="inlineStr">
        <is>
          <t>HL</t>
        </is>
      </c>
      <c r="E36" s="1930" t="n"/>
      <c r="F36" s="1899" t="inlineStr">
        <is>
          <t>ppb</t>
        </is>
      </c>
      <c r="G36" s="1938" t="n"/>
      <c r="H36" s="1747" t="n"/>
      <c r="I36" s="1899" t="inlineStr">
        <is>
          <t>g/l</t>
        </is>
      </c>
      <c r="J36" s="1934" t="inlineStr">
        <is>
          <t>KEG</t>
        </is>
      </c>
      <c r="K36" s="1935" t="n"/>
      <c r="L36" s="1416" t="n"/>
      <c r="M36" s="1936" t="n"/>
      <c r="N36" s="1747" t="n"/>
      <c r="O36" s="1747" t="n"/>
      <c r="P36" s="1747" t="n"/>
      <c r="Q36" s="1747" t="n"/>
      <c r="R36" s="1892" t="n"/>
      <c r="S36" s="1602" t="inlineStr">
        <is>
          <t>Dosing  (from recept-voorblad)</t>
        </is>
      </c>
      <c r="T36" s="1602" t="n"/>
      <c r="U36" s="1939" t="n"/>
      <c r="V36" s="1763">
        <f>VLOOKUP("*Nagardo*",'Recept-voorblad'!$A$91:$H$93,5,FALSE())</f>
        <v/>
      </c>
      <c r="W36" s="1602" t="inlineStr">
        <is>
          <t>ppm</t>
        </is>
      </c>
    </row>
    <row r="37" ht="15" customHeight="1" s="1339">
      <c r="A37" s="1928" t="inlineStr">
        <is>
          <t>HBT</t>
        </is>
      </c>
      <c r="B37" s="1929" t="n"/>
      <c r="C37" s="1930" t="n"/>
      <c r="D37" s="1931" t="inlineStr">
        <is>
          <t>HL</t>
        </is>
      </c>
      <c r="E37" s="1930" t="n"/>
      <c r="F37" s="1899" t="inlineStr">
        <is>
          <t>ppb</t>
        </is>
      </c>
      <c r="G37" s="1938" t="n"/>
      <c r="H37" s="1747" t="n"/>
      <c r="I37" s="1899" t="inlineStr">
        <is>
          <t>g/l</t>
        </is>
      </c>
      <c r="J37" s="1934" t="inlineStr">
        <is>
          <t>Fill in</t>
        </is>
      </c>
      <c r="K37" s="1935" t="n"/>
      <c r="L37" s="1416" t="n"/>
      <c r="M37" s="1936" t="n"/>
      <c r="N37" s="1747" t="n"/>
      <c r="O37" s="1747" t="n"/>
      <c r="P37" s="1747" t="n"/>
      <c r="Q37" s="1747" t="n"/>
      <c r="R37" s="1892" t="n"/>
      <c r="S37" s="1602" t="inlineStr">
        <is>
          <t>Nagardo weight (calc-ed)</t>
        </is>
      </c>
      <c r="T37" s="1602" t="n"/>
      <c r="U37" s="1602" t="n"/>
      <c r="V37" s="1940">
        <f>V35*V36/1000*100</f>
        <v/>
      </c>
      <c r="W37" s="1602" t="inlineStr">
        <is>
          <t>gram</t>
        </is>
      </c>
    </row>
    <row r="38" ht="15" customHeight="1" s="1339">
      <c r="A38" s="1928" t="inlineStr">
        <is>
          <t>HBT</t>
        </is>
      </c>
      <c r="B38" s="1929" t="n"/>
      <c r="C38" s="1930" t="n"/>
      <c r="D38" s="1931" t="inlineStr">
        <is>
          <t>HL</t>
        </is>
      </c>
      <c r="E38" s="1930" t="n"/>
      <c r="F38" s="1899" t="inlineStr">
        <is>
          <t>ppb</t>
        </is>
      </c>
      <c r="G38" s="1938" t="n"/>
      <c r="H38" s="1747" t="n"/>
      <c r="I38" s="1899" t="inlineStr">
        <is>
          <t>g/l</t>
        </is>
      </c>
      <c r="J38" s="1934" t="inlineStr">
        <is>
          <t>Can</t>
        </is>
      </c>
      <c r="K38" s="1935" t="n"/>
      <c r="L38" s="1416" t="n"/>
      <c r="M38" s="1936" t="n"/>
      <c r="N38" s="1747" t="n"/>
      <c r="O38" s="1747" t="n"/>
      <c r="P38" s="1747" t="n"/>
      <c r="Q38" s="1747" t="n"/>
      <c r="R38" s="1892" t="n"/>
      <c r="S38" s="1602" t="inlineStr">
        <is>
          <t>Volume water (calc-ed)</t>
        </is>
      </c>
      <c r="T38" s="1602" t="n"/>
      <c r="U38" s="1602" t="n"/>
      <c r="V38" s="1941">
        <f>V37/(1000*0.01)</f>
        <v/>
      </c>
      <c r="W38" s="1602" t="inlineStr">
        <is>
          <t>liter</t>
        </is>
      </c>
    </row>
    <row r="39" ht="15" customHeight="1" s="1339">
      <c r="A39" s="1928" t="inlineStr">
        <is>
          <t>HBT</t>
        </is>
      </c>
      <c r="B39" s="1942" t="n"/>
      <c r="C39" s="1943" t="n"/>
      <c r="D39" s="1942" t="inlineStr">
        <is>
          <t>HL</t>
        </is>
      </c>
      <c r="E39" s="1943" t="n"/>
      <c r="F39" s="1944" t="inlineStr">
        <is>
          <t>ppb</t>
        </is>
      </c>
      <c r="G39" s="1945" t="n"/>
      <c r="H39" s="1933" t="n"/>
      <c r="I39" s="1944" t="inlineStr">
        <is>
          <t>g/l</t>
        </is>
      </c>
      <c r="J39" s="1946" t="inlineStr">
        <is>
          <t>Fill in</t>
        </is>
      </c>
      <c r="K39" s="1935" t="n"/>
      <c r="L39" s="1416" t="n"/>
      <c r="M39" s="1947" t="n"/>
      <c r="N39" s="1933" t="n"/>
      <c r="O39" s="1933" t="n"/>
      <c r="P39" s="1933" t="n"/>
      <c r="Q39" s="1933" t="n"/>
      <c r="R39" s="1948" t="n"/>
      <c r="S39" s="1602" t="inlineStr">
        <is>
          <t>Calculation correct?</t>
        </is>
      </c>
      <c r="U39" s="1949" t="inlineStr">
        <is>
          <t>initials</t>
        </is>
      </c>
      <c r="V39" s="1949" t="inlineStr">
        <is>
          <t>Yes/No</t>
        </is>
      </c>
      <c r="W39" s="1602" t="n"/>
    </row>
    <row r="40" ht="15" customHeight="1" s="1339">
      <c r="A40" s="1928" t="inlineStr">
        <is>
          <t>HBT</t>
        </is>
      </c>
      <c r="B40" s="1931" t="n"/>
      <c r="C40" s="1950" t="n"/>
      <c r="D40" s="1931" t="inlineStr">
        <is>
          <t>HL</t>
        </is>
      </c>
      <c r="E40" s="1950" t="n"/>
      <c r="F40" s="1899" t="inlineStr">
        <is>
          <t>ppb</t>
        </is>
      </c>
      <c r="G40" s="1945" t="n"/>
      <c r="H40" s="1933" t="n"/>
      <c r="I40" s="1899" t="inlineStr">
        <is>
          <t>g/l</t>
        </is>
      </c>
      <c r="J40" s="1946" t="inlineStr">
        <is>
          <t>Fill in</t>
        </is>
      </c>
      <c r="K40" s="1935" t="n"/>
      <c r="L40" s="1416" t="n"/>
      <c r="M40" s="1936" t="n"/>
      <c r="N40" s="1747" t="n"/>
      <c r="O40" s="1747" t="n"/>
      <c r="P40" s="1747" t="n"/>
      <c r="Q40" s="1747" t="n"/>
      <c r="R40" s="1892" t="n"/>
      <c r="S40" s="1602" t="inlineStr">
        <is>
          <t>Operator #1</t>
        </is>
      </c>
      <c r="T40" s="1602" t="n"/>
      <c r="U40" s="1951" t="n"/>
      <c r="V40" s="1937" t="inlineStr">
        <is>
          <t>No</t>
        </is>
      </c>
      <c r="W40" s="1602" t="n"/>
    </row>
    <row r="41" ht="15" customHeight="1" s="1339">
      <c r="A41" s="1928" t="inlineStr">
        <is>
          <t>HBT</t>
        </is>
      </c>
      <c r="B41" s="1931" t="n"/>
      <c r="C41" s="1950" t="n"/>
      <c r="D41" s="1931" t="inlineStr">
        <is>
          <t>HL</t>
        </is>
      </c>
      <c r="E41" s="1950" t="n"/>
      <c r="F41" s="1899" t="inlineStr">
        <is>
          <t>ppb</t>
        </is>
      </c>
      <c r="G41" s="1952" t="n"/>
      <c r="H41" s="1747" t="n"/>
      <c r="I41" s="1899" t="inlineStr">
        <is>
          <t>g/l</t>
        </is>
      </c>
      <c r="J41" s="1946" t="inlineStr">
        <is>
          <t>Fill in</t>
        </is>
      </c>
      <c r="K41" s="1935" t="n"/>
      <c r="L41" s="1416" t="n"/>
      <c r="M41" s="1936" t="n"/>
      <c r="N41" s="1747" t="n"/>
      <c r="O41" s="1747" t="n"/>
      <c r="P41" s="1747" t="n"/>
      <c r="Q41" s="1747" t="n"/>
      <c r="R41" s="1892" t="n"/>
      <c r="S41" s="1602" t="inlineStr">
        <is>
          <t>Operator #2</t>
        </is>
      </c>
      <c r="T41" s="1602" t="n"/>
      <c r="U41" s="1951" t="n"/>
      <c r="V41" s="1937" t="inlineStr">
        <is>
          <t>No</t>
        </is>
      </c>
      <c r="W41" s="1602" t="n"/>
    </row>
    <row r="42" ht="15" customHeight="1" s="1339">
      <c r="A42" s="1928" t="inlineStr">
        <is>
          <t>HBT</t>
        </is>
      </c>
      <c r="B42" s="1931" t="n"/>
      <c r="C42" s="1950" t="n"/>
      <c r="D42" s="1931" t="inlineStr">
        <is>
          <t>HL</t>
        </is>
      </c>
      <c r="E42" s="1950" t="n"/>
      <c r="F42" s="1899" t="inlineStr">
        <is>
          <t>ppb</t>
        </is>
      </c>
      <c r="G42" s="1952" t="n"/>
      <c r="H42" s="1747" t="n"/>
      <c r="I42" s="1899" t="inlineStr">
        <is>
          <t>g/l</t>
        </is>
      </c>
      <c r="J42" s="1946" t="inlineStr">
        <is>
          <t>Fill in</t>
        </is>
      </c>
      <c r="K42" s="1935" t="n"/>
      <c r="L42" s="1416" t="n"/>
      <c r="M42" s="1936" t="n"/>
      <c r="N42" s="1747" t="n"/>
      <c r="O42" s="1747" t="n"/>
      <c r="P42" s="1747" t="n"/>
      <c r="Q42" s="1747" t="n"/>
      <c r="R42" s="1892" t="n"/>
      <c r="S42" s="1602" t="inlineStr">
        <is>
          <t>Laboratory</t>
        </is>
      </c>
      <c r="T42" s="1602" t="n"/>
      <c r="U42" s="1951" t="n"/>
      <c r="V42" s="1937" t="inlineStr">
        <is>
          <t>No</t>
        </is>
      </c>
      <c r="W42" s="1602" t="n"/>
    </row>
    <row r="43" ht="15" customHeight="1" s="1339">
      <c r="A43" s="1928" t="inlineStr">
        <is>
          <t>HBT</t>
        </is>
      </c>
      <c r="B43" s="1942" t="n"/>
      <c r="C43" s="1943" t="n"/>
      <c r="D43" s="1942" t="inlineStr">
        <is>
          <t>HL</t>
        </is>
      </c>
      <c r="E43" s="1943" t="n"/>
      <c r="F43" s="1944" t="inlineStr">
        <is>
          <t>ppb</t>
        </is>
      </c>
      <c r="G43" s="1945" t="n"/>
      <c r="H43" s="1933" t="n"/>
      <c r="I43" s="1944" t="inlineStr">
        <is>
          <t>g/l</t>
        </is>
      </c>
      <c r="J43" s="1946" t="inlineStr">
        <is>
          <t>Fill in</t>
        </is>
      </c>
      <c r="K43" s="1935" t="n"/>
      <c r="L43" s="1416" t="n"/>
      <c r="M43" s="1947" t="n"/>
      <c r="N43" s="1933" t="n"/>
      <c r="O43" s="1933" t="n"/>
      <c r="P43" s="1933" t="n"/>
      <c r="Q43" s="1933" t="n"/>
      <c r="R43" s="1948" t="n"/>
      <c r="S43" s="1762" t="n"/>
      <c r="T43" s="1762" t="inlineStr">
        <is>
          <t>PGA - Alginate add calculator</t>
        </is>
      </c>
      <c r="U43" s="1766" t="n"/>
      <c r="V43" s="1766" t="n"/>
      <c r="W43" s="1762" t="n"/>
    </row>
    <row r="44" ht="15" customHeight="1" s="1339">
      <c r="A44" s="1928" t="inlineStr">
        <is>
          <t>HBT</t>
        </is>
      </c>
      <c r="B44" s="1931" t="n"/>
      <c r="C44" s="1950" t="n"/>
      <c r="D44" s="1931" t="inlineStr">
        <is>
          <t>HL</t>
        </is>
      </c>
      <c r="E44" s="1950" t="n"/>
      <c r="F44" s="1899" t="inlineStr">
        <is>
          <t>ppb</t>
        </is>
      </c>
      <c r="G44" s="1945" t="n"/>
      <c r="H44" s="1933" t="n"/>
      <c r="I44" s="1899" t="inlineStr">
        <is>
          <t>g/l</t>
        </is>
      </c>
      <c r="J44" s="1946" t="inlineStr">
        <is>
          <t>Fill in</t>
        </is>
      </c>
      <c r="K44" s="1935" t="n"/>
      <c r="L44" s="1416" t="n"/>
      <c r="M44" s="1936" t="n"/>
      <c r="N44" s="1747" t="n"/>
      <c r="O44" s="1747" t="n"/>
      <c r="P44" s="1747" t="n"/>
      <c r="Q44" s="1747" t="n"/>
      <c r="R44" s="1892" t="n"/>
      <c r="S44" s="1602" t="inlineStr">
        <is>
          <t>Alginate</t>
        </is>
      </c>
      <c r="T44" s="1602" t="n"/>
      <c r="U44" s="1763" t="n"/>
      <c r="V44" s="1763">
        <f>V46*0.02*1000</f>
        <v/>
      </c>
      <c r="W44" s="1602" t="inlineStr">
        <is>
          <t>gram</t>
        </is>
      </c>
    </row>
    <row r="45" ht="15" customHeight="1" s="1339">
      <c r="A45" s="1928" t="inlineStr">
        <is>
          <t>HBT</t>
        </is>
      </c>
      <c r="B45" s="1931" t="n"/>
      <c r="C45" s="1950" t="n"/>
      <c r="D45" s="1931" t="inlineStr">
        <is>
          <t>HL</t>
        </is>
      </c>
      <c r="E45" s="1950" t="n"/>
      <c r="F45" s="1899" t="inlineStr">
        <is>
          <t>ppb</t>
        </is>
      </c>
      <c r="G45" s="1952" t="n"/>
      <c r="H45" s="1747" t="n"/>
      <c r="I45" s="1899" t="inlineStr">
        <is>
          <t>g/l</t>
        </is>
      </c>
      <c r="J45" s="1946" t="inlineStr">
        <is>
          <t>Fill in</t>
        </is>
      </c>
      <c r="K45" s="1935" t="n"/>
      <c r="L45" s="1416" t="n"/>
      <c r="M45" s="1936" t="n"/>
      <c r="N45" s="1747" t="n"/>
      <c r="O45" s="1747" t="n"/>
      <c r="P45" s="1747" t="n"/>
      <c r="Q45" s="1747" t="n"/>
      <c r="R45" s="1892" t="n"/>
      <c r="S45" s="1602" t="inlineStr">
        <is>
          <t>hot water for 2% solution</t>
        </is>
      </c>
      <c r="T45" s="1602" t="n"/>
      <c r="U45" s="1763" t="n"/>
      <c r="V45" s="1763">
        <f>V46</f>
        <v/>
      </c>
      <c r="W45" s="1602" t="inlineStr">
        <is>
          <t>liter</t>
        </is>
      </c>
    </row>
    <row r="46" ht="15" customHeight="1" s="1339">
      <c r="A46" s="1928" t="inlineStr">
        <is>
          <t>HBT</t>
        </is>
      </c>
      <c r="B46" s="1931" t="n"/>
      <c r="C46" s="1950" t="n"/>
      <c r="D46" s="1931" t="inlineStr">
        <is>
          <t>HL</t>
        </is>
      </c>
      <c r="E46" s="1950" t="n"/>
      <c r="F46" s="1899" t="inlineStr">
        <is>
          <t>ppb</t>
        </is>
      </c>
      <c r="G46" s="1952" t="n"/>
      <c r="H46" s="1747" t="n"/>
      <c r="I46" s="1899" t="inlineStr">
        <is>
          <t>g/l</t>
        </is>
      </c>
      <c r="J46" s="1946" t="inlineStr">
        <is>
          <t>Fill in</t>
        </is>
      </c>
      <c r="K46" s="1935" t="n"/>
      <c r="L46" s="1416" t="n"/>
      <c r="M46" s="1936" t="n"/>
      <c r="N46" s="1747" t="n"/>
      <c r="O46" s="1747" t="n"/>
      <c r="P46" s="1747" t="n"/>
      <c r="Q46" s="1747" t="n"/>
      <c r="R46" s="1892" t="n"/>
      <c r="S46" s="1953" t="inlineStr">
        <is>
          <t>volume pre-fuge at  0,4l/Hl</t>
        </is>
      </c>
      <c r="T46" s="1954" t="n"/>
      <c r="U46" s="1955" t="n"/>
      <c r="V46" s="1955">
        <f>'Recept-voorblad'!$E$92*(V35/100*100)</f>
        <v/>
      </c>
      <c r="W46" s="1954" t="inlineStr">
        <is>
          <t>liter</t>
        </is>
      </c>
    </row>
    <row r="47" ht="15" customHeight="1" s="1339">
      <c r="A47" s="1928" t="inlineStr">
        <is>
          <t>HBT</t>
        </is>
      </c>
      <c r="B47" s="1931" t="n"/>
      <c r="C47" s="1950" t="n"/>
      <c r="D47" s="1931" t="inlineStr">
        <is>
          <t>HL</t>
        </is>
      </c>
      <c r="E47" s="1950" t="n"/>
      <c r="F47" s="1899" t="inlineStr">
        <is>
          <t>ppb</t>
        </is>
      </c>
      <c r="G47" s="1952" t="n"/>
      <c r="H47" s="1747" t="n"/>
      <c r="I47" s="1899" t="inlineStr">
        <is>
          <t>g/l</t>
        </is>
      </c>
      <c r="J47" s="1946" t="inlineStr">
        <is>
          <t>Fill in</t>
        </is>
      </c>
      <c r="K47" s="1935" t="n"/>
      <c r="L47" s="1416" t="n"/>
      <c r="M47" s="1936" t="n"/>
      <c r="N47" s="1747" t="n"/>
      <c r="O47" s="1747" t="n"/>
      <c r="P47" s="1747" t="n"/>
      <c r="Q47" s="1747" t="n"/>
      <c r="R47" s="1892" t="n"/>
      <c r="S47" s="1835" t="n"/>
      <c r="T47" s="1602" t="n"/>
      <c r="U47" s="1602" t="n"/>
      <c r="V47" s="1602" t="n"/>
      <c r="W47" s="1602" t="n"/>
    </row>
    <row r="48" ht="15" customHeight="1" s="1339">
      <c r="A48" s="1928" t="inlineStr">
        <is>
          <t>HBT</t>
        </is>
      </c>
      <c r="B48" s="1931" t="n"/>
      <c r="C48" s="1950" t="n"/>
      <c r="D48" s="1931" t="inlineStr">
        <is>
          <t>HL</t>
        </is>
      </c>
      <c r="E48" s="1950" t="n"/>
      <c r="F48" s="1899" t="inlineStr">
        <is>
          <t>ppb</t>
        </is>
      </c>
      <c r="G48" s="1952" t="n"/>
      <c r="H48" s="1747" t="n"/>
      <c r="I48" s="1899" t="inlineStr">
        <is>
          <t>g/l</t>
        </is>
      </c>
      <c r="J48" s="1946" t="inlineStr">
        <is>
          <t>Fill in</t>
        </is>
      </c>
      <c r="K48" s="1935" t="n"/>
      <c r="L48" s="1416" t="n"/>
      <c r="M48" s="1936" t="n"/>
      <c r="N48" s="1747" t="n"/>
      <c r="O48" s="1747" t="n"/>
      <c r="P48" s="1747" t="n"/>
      <c r="Q48" s="1747" t="n"/>
      <c r="R48" s="1892" t="n"/>
      <c r="S48" s="1602" t="n"/>
      <c r="T48" s="1762" t="inlineStr">
        <is>
          <t>NAGARDO ADD calculator #2</t>
        </is>
      </c>
      <c r="U48" s="1763" t="n"/>
      <c r="V48" s="1763" t="n"/>
      <c r="W48" s="1602" t="n"/>
    </row>
    <row r="49" ht="15" customHeight="1" s="1339">
      <c r="A49" s="1928" t="inlineStr">
        <is>
          <t>HBT</t>
        </is>
      </c>
      <c r="B49" s="1931" t="n"/>
      <c r="C49" s="1950" t="n"/>
      <c r="D49" s="1931" t="inlineStr">
        <is>
          <t>HL</t>
        </is>
      </c>
      <c r="E49" s="1950" t="n"/>
      <c r="F49" s="1899" t="inlineStr">
        <is>
          <t>ppb</t>
        </is>
      </c>
      <c r="G49" s="1952" t="n"/>
      <c r="H49" s="1747" t="n"/>
      <c r="I49" s="1899" t="inlineStr">
        <is>
          <t>g/l</t>
        </is>
      </c>
      <c r="J49" s="1946" t="inlineStr">
        <is>
          <t>Fill in</t>
        </is>
      </c>
      <c r="K49" s="1935" t="n"/>
      <c r="L49" s="1416" t="n"/>
      <c r="M49" s="1936" t="n"/>
      <c r="N49" s="1747" t="n"/>
      <c r="O49" s="1747" t="n"/>
      <c r="P49" s="1747" t="n"/>
      <c r="Q49" s="1747" t="n"/>
      <c r="R49" s="1892" t="n"/>
      <c r="S49" s="1602" t="inlineStr">
        <is>
          <t>Volume to process in HBT</t>
        </is>
      </c>
      <c r="T49" s="1602" t="n"/>
      <c r="U49" s="1937" t="n">
        <v>12</v>
      </c>
      <c r="V49" s="1937" t="n">
        <v>120</v>
      </c>
      <c r="W49" s="1602" t="inlineStr">
        <is>
          <t>HL</t>
        </is>
      </c>
    </row>
    <row r="50" ht="15" customHeight="1" s="1339">
      <c r="A50" s="1928" t="inlineStr">
        <is>
          <t>HBT</t>
        </is>
      </c>
      <c r="B50" s="1931" t="n"/>
      <c r="C50" s="1950" t="n"/>
      <c r="D50" s="1931" t="inlineStr">
        <is>
          <t>HL</t>
        </is>
      </c>
      <c r="E50" s="1950" t="n"/>
      <c r="F50" s="1899" t="inlineStr">
        <is>
          <t>ppb</t>
        </is>
      </c>
      <c r="G50" s="1952" t="n"/>
      <c r="H50" s="1747" t="n"/>
      <c r="I50" s="1899" t="inlineStr">
        <is>
          <t>g/l</t>
        </is>
      </c>
      <c r="J50" s="1946" t="inlineStr">
        <is>
          <t>Fill in</t>
        </is>
      </c>
      <c r="K50" s="1935" t="n"/>
      <c r="L50" s="1416" t="n"/>
      <c r="M50" s="1936" t="n"/>
      <c r="N50" s="1747" t="n"/>
      <c r="O50" s="1747" t="n"/>
      <c r="P50" s="1747" t="n"/>
      <c r="Q50" s="1747" t="n"/>
      <c r="R50" s="1892" t="n"/>
      <c r="S50" s="1602" t="inlineStr">
        <is>
          <t>Dosing  (from recept-voorblad)</t>
        </is>
      </c>
      <c r="T50" s="1602" t="n"/>
      <c r="U50" s="1602" t="n"/>
      <c r="V50" s="1763">
        <f>VLOOKUP("*Nagardo*",'Recept-voorblad'!$A$91:$H$93,5,FALSE())</f>
        <v/>
      </c>
      <c r="W50" s="1602" t="inlineStr">
        <is>
          <t>ppm</t>
        </is>
      </c>
    </row>
    <row r="51" ht="15" customHeight="1" s="1339">
      <c r="A51" s="1928" t="inlineStr">
        <is>
          <t>HBT</t>
        </is>
      </c>
      <c r="B51" s="1956" t="n"/>
      <c r="C51" s="1950" t="n"/>
      <c r="D51" s="1956" t="inlineStr">
        <is>
          <t>HL</t>
        </is>
      </c>
      <c r="E51" s="1950" t="n"/>
      <c r="F51" s="1887" t="inlineStr">
        <is>
          <t>ppb</t>
        </is>
      </c>
      <c r="G51" s="1952" t="n"/>
      <c r="H51" s="1747" t="n"/>
      <c r="I51" s="1887" t="inlineStr">
        <is>
          <t>g/l</t>
        </is>
      </c>
      <c r="J51" s="1946" t="inlineStr">
        <is>
          <t>Fill in</t>
        </is>
      </c>
      <c r="K51" s="1935" t="n"/>
      <c r="L51" s="1416" t="n"/>
      <c r="M51" s="1936" t="n"/>
      <c r="N51" s="1747" t="n"/>
      <c r="O51" s="1747" t="n"/>
      <c r="P51" s="1747" t="n"/>
      <c r="Q51" s="1747" t="n"/>
      <c r="R51" s="1892" t="n"/>
      <c r="S51" s="1602" t="inlineStr">
        <is>
          <t>Nagardo weight (calc-ed)</t>
        </is>
      </c>
      <c r="T51" s="1602" t="n"/>
      <c r="U51" s="1602" t="n"/>
      <c r="V51" s="1940">
        <f>V49*V50/1000*100</f>
        <v/>
      </c>
      <c r="W51" s="1602" t="inlineStr">
        <is>
          <t>gram</t>
        </is>
      </c>
    </row>
    <row r="52" ht="15" customHeight="1" s="1339">
      <c r="A52" s="1928" t="inlineStr">
        <is>
          <t>HBT</t>
        </is>
      </c>
      <c r="B52" s="1931" t="n"/>
      <c r="C52" s="1943" t="n"/>
      <c r="D52" s="1931" t="inlineStr">
        <is>
          <t>HL</t>
        </is>
      </c>
      <c r="E52" s="1943" t="n"/>
      <c r="F52" s="1899" t="inlineStr">
        <is>
          <t>ppb</t>
        </is>
      </c>
      <c r="G52" s="1945" t="n"/>
      <c r="H52" s="1933" t="n"/>
      <c r="I52" s="1899" t="inlineStr">
        <is>
          <t>g/l</t>
        </is>
      </c>
      <c r="J52" s="1946" t="inlineStr">
        <is>
          <t>Fill in</t>
        </is>
      </c>
      <c r="K52" s="1935" t="n"/>
      <c r="L52" s="1416" t="n"/>
      <c r="M52" s="1936" t="n"/>
      <c r="N52" s="1747" t="n"/>
      <c r="O52" s="1747" t="n"/>
      <c r="P52" s="1747" t="n"/>
      <c r="Q52" s="1747" t="n"/>
      <c r="R52" s="1892" t="n"/>
      <c r="S52" s="1602" t="inlineStr">
        <is>
          <t>Volume water (calc-ed)</t>
        </is>
      </c>
      <c r="T52" s="1602" t="n"/>
      <c r="V52" s="1941">
        <f>V51/(1000*0.01)</f>
        <v/>
      </c>
      <c r="W52" s="1602" t="inlineStr">
        <is>
          <t>liter</t>
        </is>
      </c>
    </row>
    <row r="53" ht="15" customHeight="1" s="1339">
      <c r="A53" s="1928" t="inlineStr">
        <is>
          <t>HBT</t>
        </is>
      </c>
      <c r="B53" s="1928" t="n"/>
      <c r="C53" s="1939" t="n"/>
      <c r="D53" s="1928" t="inlineStr">
        <is>
          <t>HL</t>
        </is>
      </c>
      <c r="E53" s="1939" t="n"/>
      <c r="F53" s="1957" t="inlineStr">
        <is>
          <t>ppb</t>
        </is>
      </c>
      <c r="G53" s="1958" t="n"/>
      <c r="H53" s="1892" t="n"/>
      <c r="I53" s="1899" t="inlineStr">
        <is>
          <t>g/l</t>
        </is>
      </c>
      <c r="J53" s="1946" t="inlineStr">
        <is>
          <t>Fill in</t>
        </is>
      </c>
      <c r="K53" s="1935" t="n"/>
      <c r="L53" s="1416" t="n"/>
      <c r="M53" s="1936" t="n"/>
      <c r="N53" s="1747" t="n"/>
      <c r="O53" s="1747" t="n"/>
      <c r="P53" s="1747" t="n"/>
      <c r="Q53" s="1747" t="n"/>
      <c r="R53" s="1892" t="n"/>
      <c r="S53" s="1602" t="inlineStr">
        <is>
          <t>Calculation correct?</t>
        </is>
      </c>
      <c r="T53" s="1602" t="n"/>
      <c r="U53" s="1949" t="inlineStr">
        <is>
          <t>initials</t>
        </is>
      </c>
      <c r="V53" s="1949" t="inlineStr">
        <is>
          <t>Yes/No</t>
        </is>
      </c>
      <c r="W53" s="1602" t="n"/>
    </row>
    <row r="54" ht="15" customHeight="1" s="1339">
      <c r="A54" s="1928" t="inlineStr">
        <is>
          <t>HBT</t>
        </is>
      </c>
      <c r="B54" s="1887" t="n"/>
      <c r="C54" s="1959" t="n"/>
      <c r="D54" s="1956" t="inlineStr">
        <is>
          <t>HL</t>
        </is>
      </c>
      <c r="E54" s="1960" t="n"/>
      <c r="F54" s="1887" t="inlineStr">
        <is>
          <t>ppb</t>
        </is>
      </c>
      <c r="G54" s="1960" t="n"/>
      <c r="H54" s="1886" t="n"/>
      <c r="I54" s="1957" t="inlineStr">
        <is>
          <t>g/l</t>
        </is>
      </c>
      <c r="J54" s="1946" t="inlineStr">
        <is>
          <t>Fill in</t>
        </is>
      </c>
      <c r="K54" s="1935" t="n"/>
      <c r="L54" s="1416" t="n"/>
      <c r="M54" s="1961" t="n"/>
      <c r="N54" s="1886" t="n"/>
      <c r="O54" s="1886" t="n"/>
      <c r="P54" s="1886" t="n"/>
      <c r="Q54" s="1886" t="n"/>
      <c r="R54" s="1962" t="n"/>
      <c r="S54" s="1602" t="inlineStr">
        <is>
          <t>Operator #1</t>
        </is>
      </c>
      <c r="T54" s="1602" t="n"/>
      <c r="U54" s="1951" t="n"/>
      <c r="V54" s="1937" t="inlineStr">
        <is>
          <t>No</t>
        </is>
      </c>
    </row>
    <row r="55" ht="15" customFormat="1" customHeight="1" s="1963">
      <c r="A55" s="1964" t="n"/>
      <c r="B55" s="1315" t="n"/>
      <c r="C55" s="1315" t="n"/>
      <c r="D55" s="1315" t="n"/>
      <c r="E55" s="1315" t="n"/>
      <c r="F55" s="1315" t="n"/>
      <c r="G55" s="1315" t="n"/>
      <c r="H55" s="1315" t="n"/>
      <c r="I55" s="1315" t="n"/>
      <c r="J55" s="1315" t="n"/>
      <c r="K55" s="1315" t="n"/>
      <c r="L55" s="1315" t="n"/>
      <c r="M55" s="1315" t="n"/>
      <c r="N55" s="1315" t="n"/>
      <c r="O55" s="1315" t="n"/>
      <c r="P55" s="1315" t="n"/>
      <c r="Q55" s="1315" t="n"/>
      <c r="R55" s="1316" t="n"/>
      <c r="S55" s="1602" t="inlineStr">
        <is>
          <t>Operator #2</t>
        </is>
      </c>
      <c r="T55" s="1602" t="n"/>
      <c r="U55" s="1951" t="n"/>
      <c r="V55" s="1937" t="inlineStr">
        <is>
          <t>No</t>
        </is>
      </c>
      <c r="W55" s="1602" t="n"/>
    </row>
    <row r="56" ht="15.75" customHeight="1" s="1339">
      <c r="A56" s="1965" t="inlineStr">
        <is>
          <t xml:space="preserve">Total measured volumes </t>
        </is>
      </c>
      <c r="B56" s="1315" t="n"/>
      <c r="C56" s="1315" t="n"/>
      <c r="D56" s="1315" t="n"/>
      <c r="E56" s="1315" t="n"/>
      <c r="F56" s="1315" t="n"/>
      <c r="G56" s="1315" t="n"/>
      <c r="H56" s="1315" t="n"/>
      <c r="I56" s="1315" t="n"/>
      <c r="J56" s="1315" t="n"/>
      <c r="K56" s="1315" t="n"/>
      <c r="L56" s="1315" t="n"/>
      <c r="M56" s="1315" t="n"/>
      <c r="N56" s="1315" t="n"/>
      <c r="O56" s="1315" t="n"/>
      <c r="P56" s="1315" t="n"/>
      <c r="Q56" s="1315" t="n"/>
      <c r="R56" s="1316" t="n"/>
      <c r="S56" s="1602" t="inlineStr">
        <is>
          <t>Laboratory</t>
        </is>
      </c>
      <c r="T56" s="1602" t="n"/>
      <c r="U56" s="1951" t="n"/>
      <c r="V56" s="1937" t="inlineStr">
        <is>
          <t>No</t>
        </is>
      </c>
      <c r="W56" s="1602" t="n"/>
    </row>
    <row r="57" ht="15" customHeight="1" s="1339">
      <c r="A57" s="1966" t="n"/>
      <c r="B57" s="1078" t="n"/>
      <c r="C57" s="1078" t="n"/>
      <c r="D57" s="1967" t="n"/>
      <c r="E57" s="1967" t="n"/>
      <c r="F57" s="1078" t="n"/>
      <c r="G57" s="1871" t="inlineStr">
        <is>
          <t>O2</t>
        </is>
      </c>
      <c r="H57" s="1316" t="n"/>
      <c r="I57" s="1869" t="inlineStr">
        <is>
          <t>CO2</t>
        </is>
      </c>
      <c r="J57" s="1316" t="n"/>
      <c r="K57" s="1968" t="inlineStr">
        <is>
          <t>Comments</t>
        </is>
      </c>
      <c r="L57" s="1093" t="n"/>
      <c r="M57" s="1093" t="n"/>
      <c r="N57" s="1093" t="n"/>
      <c r="O57" s="1093" t="n"/>
      <c r="P57" s="1093" t="n"/>
      <c r="Q57" s="1093" t="n"/>
      <c r="R57" s="1094" t="n"/>
      <c r="S57" s="1762" t="n"/>
      <c r="T57" s="1762" t="inlineStr">
        <is>
          <t>PGA - Alginate add calculator</t>
        </is>
      </c>
      <c r="U57" s="1766" t="n"/>
      <c r="V57" s="1766" t="n"/>
      <c r="W57" s="1762" t="n"/>
    </row>
    <row r="58" ht="15" customHeight="1" s="1339">
      <c r="A58" s="1964" t="inlineStr">
        <is>
          <t>End value HBT:</t>
        </is>
      </c>
      <c r="B58" s="1315" t="n"/>
      <c r="C58" s="1316" t="n"/>
      <c r="D58" s="1969" t="n"/>
      <c r="E58" s="1970" t="n"/>
      <c r="F58" s="1908" t="inlineStr">
        <is>
          <t>HL</t>
        </is>
      </c>
      <c r="G58" s="1889" t="n"/>
      <c r="H58" s="1895" t="inlineStr">
        <is>
          <t>ppb</t>
        </is>
      </c>
      <c r="I58" s="1971" t="n"/>
      <c r="J58" s="1895" t="inlineStr">
        <is>
          <t>g/l</t>
        </is>
      </c>
      <c r="K58" s="1907" t="n"/>
      <c r="L58" s="1315" t="n"/>
      <c r="M58" s="1315" t="n"/>
      <c r="N58" s="1315" t="n"/>
      <c r="O58" s="1315" t="n"/>
      <c r="P58" s="1315" t="n"/>
      <c r="Q58" s="1315" t="n"/>
      <c r="R58" s="1316" t="n"/>
      <c r="S58" s="1602" t="inlineStr">
        <is>
          <t>Alginate</t>
        </is>
      </c>
      <c r="T58" s="1602" t="n"/>
      <c r="U58" s="1763" t="n"/>
      <c r="V58" s="1763">
        <f>V60*0.02*1000</f>
        <v/>
      </c>
      <c r="W58" s="1602" t="inlineStr">
        <is>
          <t>gram</t>
        </is>
      </c>
    </row>
    <row r="59" ht="15" customHeight="1" s="1339">
      <c r="A59" s="1964" t="inlineStr">
        <is>
          <t>End value HBT:</t>
        </is>
      </c>
      <c r="B59" s="1315" t="n"/>
      <c r="C59" s="1316" t="n"/>
      <c r="D59" s="1969" t="n"/>
      <c r="E59" s="1970" t="n"/>
      <c r="F59" s="1908" t="inlineStr">
        <is>
          <t>HL</t>
        </is>
      </c>
      <c r="G59" s="1908" t="n"/>
      <c r="H59" s="1895" t="inlineStr">
        <is>
          <t>ppb</t>
        </is>
      </c>
      <c r="I59" s="1972" t="n"/>
      <c r="J59" s="1973" t="inlineStr">
        <is>
          <t>g/l</t>
        </is>
      </c>
      <c r="K59" s="1907" t="n"/>
      <c r="L59" s="1315" t="n"/>
      <c r="M59" s="1315" t="n"/>
      <c r="N59" s="1315" t="n"/>
      <c r="O59" s="1315" t="n"/>
      <c r="P59" s="1315" t="n"/>
      <c r="Q59" s="1315" t="n"/>
      <c r="R59" s="1316" t="n"/>
      <c r="S59" s="1602" t="inlineStr">
        <is>
          <t>hot water for 2% solution</t>
        </is>
      </c>
      <c r="T59" s="1602" t="n"/>
      <c r="U59" s="1763" t="n"/>
      <c r="V59" s="1763">
        <f>V60</f>
        <v/>
      </c>
      <c r="W59" s="1602" t="inlineStr">
        <is>
          <t>liter</t>
        </is>
      </c>
    </row>
    <row r="60" ht="15" customHeight="1" s="1339">
      <c r="A60" s="1964" t="inlineStr">
        <is>
          <t>End value HBT:</t>
        </is>
      </c>
      <c r="B60" s="1315" t="n"/>
      <c r="C60" s="1316" t="n"/>
      <c r="D60" s="1969" t="n"/>
      <c r="E60" s="1970" t="n"/>
      <c r="F60" s="1908" t="inlineStr">
        <is>
          <t>HL</t>
        </is>
      </c>
      <c r="G60" s="1908" t="n"/>
      <c r="H60" s="1974" t="inlineStr">
        <is>
          <t>ppb</t>
        </is>
      </c>
      <c r="I60" s="1972" t="n"/>
      <c r="J60" s="1975" t="inlineStr">
        <is>
          <t>g/l</t>
        </is>
      </c>
      <c r="K60" s="1907" t="n"/>
      <c r="L60" s="1315" t="n"/>
      <c r="M60" s="1315" t="n"/>
      <c r="N60" s="1315" t="n"/>
      <c r="O60" s="1315" t="n"/>
      <c r="P60" s="1315" t="n"/>
      <c r="Q60" s="1315" t="n"/>
      <c r="R60" s="1316" t="n"/>
      <c r="S60" s="1835" t="inlineStr">
        <is>
          <t>volume pre-fuge at  0,4l/Hl</t>
        </is>
      </c>
      <c r="T60" s="1602" t="n"/>
      <c r="U60" s="1763" t="n"/>
      <c r="V60" s="1763">
        <f>'Recept-voorblad'!$E$92*(V49/100*100)</f>
        <v/>
      </c>
      <c r="W60" s="1602" t="inlineStr">
        <is>
          <t>liter</t>
        </is>
      </c>
    </row>
    <row r="61" ht="15" customHeight="1" s="1339">
      <c r="A61" s="1964" t="inlineStr">
        <is>
          <t>End value HBT:</t>
        </is>
      </c>
      <c r="B61" s="1315" t="n"/>
      <c r="C61" s="1316" t="n"/>
      <c r="D61" s="1969" t="n"/>
      <c r="E61" s="1970" t="n"/>
      <c r="F61" s="1908" t="inlineStr">
        <is>
          <t>HL</t>
        </is>
      </c>
      <c r="G61" s="1908" t="n"/>
      <c r="H61" s="1974" t="inlineStr">
        <is>
          <t>ppb</t>
        </is>
      </c>
      <c r="I61" s="1972" t="n"/>
      <c r="J61" s="1975" t="inlineStr">
        <is>
          <t>g/l</t>
        </is>
      </c>
      <c r="K61" s="1907" t="n"/>
      <c r="L61" s="1315" t="n"/>
      <c r="M61" s="1315" t="n"/>
      <c r="N61" s="1315" t="n"/>
      <c r="O61" s="1315" t="n"/>
      <c r="P61" s="1315" t="n"/>
      <c r="Q61" s="1315" t="n"/>
      <c r="R61" s="1316" t="n"/>
      <c r="S61" s="1132" t="n"/>
      <c r="T61" s="1132" t="n"/>
      <c r="U61" s="1132" t="n"/>
      <c r="V61" s="1132" t="n"/>
      <c r="W61" s="1132" t="n"/>
    </row>
    <row r="62" ht="15" customHeight="1" s="1339">
      <c r="A62" s="1602" t="n"/>
      <c r="B62" s="1602" t="n"/>
      <c r="C62" s="1602" t="n"/>
      <c r="D62" s="1602" t="n"/>
      <c r="E62" s="1602" t="n"/>
      <c r="F62" s="1602" t="n"/>
      <c r="G62" s="1602" t="n"/>
      <c r="H62" s="1602" t="n"/>
      <c r="I62" s="1602" t="n"/>
      <c r="J62" s="1602" t="n"/>
      <c r="K62" s="1976" t="inlineStr">
        <is>
          <t xml:space="preserve">GLT empty? </t>
        </is>
      </c>
      <c r="L62" s="1315" t="n"/>
      <c r="M62" s="1315" t="n"/>
      <c r="N62" s="1315" t="n"/>
      <c r="O62" s="1315" t="n"/>
      <c r="P62" s="1315" t="n"/>
      <c r="Q62" s="1315" t="n"/>
      <c r="R62" s="1977" t="inlineStr">
        <is>
          <t>no</t>
        </is>
      </c>
      <c r="S62" s="1132" t="n"/>
      <c r="T62" s="1132" t="n"/>
      <c r="U62" s="1132" t="n"/>
      <c r="V62" s="1132" t="n"/>
      <c r="W62" s="1132" t="n"/>
    </row>
    <row r="63" ht="15" customFormat="1" customHeight="1" s="1602">
      <c r="A63" s="1978" t="inlineStr">
        <is>
          <t>Total end volume</t>
        </is>
      </c>
      <c r="B63" s="1106" t="n"/>
      <c r="C63" s="1107" t="n"/>
      <c r="D63" s="1979">
        <f>SUM(E58:E61)</f>
        <v/>
      </c>
      <c r="E63" s="1076" t="n"/>
      <c r="F63" s="1978" t="inlineStr">
        <is>
          <t>HL</t>
        </is>
      </c>
      <c r="G63" s="1107" t="n"/>
      <c r="S63" s="1132" t="n"/>
      <c r="T63" s="1132" t="n"/>
      <c r="U63" s="1132" t="n"/>
      <c r="V63" s="1132" t="n"/>
      <c r="W63" s="1132" t="n"/>
    </row>
    <row r="64" ht="15" customFormat="1" customHeight="1" s="1602">
      <c r="A64" s="1108" t="n"/>
      <c r="B64" s="1093" t="n"/>
      <c r="C64" s="1094" t="n"/>
      <c r="D64" s="1079" t="n"/>
      <c r="E64" s="1081" t="n"/>
      <c r="F64" s="1108" t="n"/>
      <c r="G64" s="1094" t="n"/>
      <c r="N64" s="1602" t="inlineStr">
        <is>
          <t xml:space="preserve">  </t>
        </is>
      </c>
      <c r="S64" s="1132" t="n"/>
      <c r="T64" s="1132" t="n"/>
      <c r="U64" s="1132" t="n"/>
      <c r="V64" s="1132" t="n"/>
      <c r="W64" s="1132" t="n"/>
    </row>
    <row r="65" ht="15" customFormat="1" customHeight="1" s="1602">
      <c r="S65" s="1132" t="n"/>
      <c r="T65" s="1132" t="n"/>
      <c r="U65" s="1132" t="n"/>
      <c r="V65" s="1132" t="n"/>
      <c r="W65" s="1132" t="n"/>
    </row>
    <row r="66" ht="15" customFormat="1" customHeight="1" s="1602">
      <c r="S66" s="1132" t="n"/>
      <c r="T66" s="1132" t="n"/>
      <c r="U66" s="1132" t="n"/>
      <c r="V66" s="1132" t="n"/>
      <c r="W66" s="1132" t="n"/>
    </row>
    <row r="67" ht="15" customFormat="1" customHeight="1" s="1602"/>
    <row r="68" ht="15" customFormat="1" customHeight="1" s="1602"/>
    <row r="69" ht="15" customFormat="1" customHeight="1" s="1602"/>
    <row r="70" ht="15" customFormat="1" customHeight="1" s="1602"/>
    <row r="71" ht="15" customFormat="1" customHeight="1" s="1602"/>
    <row r="72" ht="15" customFormat="1" customHeight="1" s="1602"/>
    <row r="73" ht="15" customFormat="1" customHeight="1" s="1602"/>
    <row r="74" ht="15" customFormat="1" customHeight="1" s="1602"/>
    <row r="75" ht="15" customFormat="1" customHeight="1" s="1602"/>
    <row r="76" ht="15" customFormat="1" customHeight="1" s="1602"/>
    <row r="77" ht="15" customFormat="1" customHeight="1" s="1602"/>
    <row r="78" ht="15" customFormat="1" customHeight="1" s="1602"/>
    <row r="79" ht="15" customFormat="1" customHeight="1" s="1602"/>
    <row r="80" ht="15" customFormat="1" customHeight="1" s="1602"/>
    <row r="81" ht="15" customFormat="1" customHeight="1" s="1602"/>
    <row r="82" ht="15" customFormat="1" customHeight="1" s="1602"/>
    <row r="83" ht="15" customFormat="1" customHeight="1" s="1602"/>
    <row r="84" ht="15" customFormat="1" customHeight="1" s="1602"/>
    <row r="85" ht="15" customFormat="1" customHeight="1" s="1602"/>
    <row r="86" ht="15" customFormat="1" customHeight="1" s="1602"/>
    <row r="87" ht="15" customFormat="1" customHeight="1" s="1602"/>
    <row r="88" ht="15" customFormat="1" customHeight="1" s="1602"/>
    <row r="89" ht="15" customFormat="1" customHeight="1" s="1602"/>
    <row r="90" ht="15" customFormat="1" customHeight="1" s="1602"/>
    <row r="91" ht="15" customFormat="1" customHeight="1" s="1602"/>
    <row r="92" ht="15" customFormat="1" customHeight="1" s="1602"/>
    <row r="93" ht="15" customFormat="1" customHeight="1" s="1602"/>
    <row r="94" ht="15" customFormat="1" customHeight="1" s="1602"/>
    <row r="95" ht="15" customFormat="1" customHeight="1" s="1602"/>
    <row r="96" ht="15" customFormat="1" customHeight="1" s="1602"/>
    <row r="97" ht="15" customFormat="1" customHeight="1" s="1602"/>
    <row r="98" ht="15" customFormat="1" customHeight="1" s="1602"/>
    <row r="99" ht="15" customFormat="1" customHeight="1" s="1602"/>
    <row r="100" ht="15" customFormat="1" customHeight="1" s="1602"/>
    <row r="101" ht="15" customFormat="1" customHeight="1" s="1602"/>
    <row r="102" ht="15" customFormat="1" customHeight="1" s="1602"/>
    <row r="103" ht="15" customFormat="1" customHeight="1" s="1602"/>
    <row r="104" ht="15" customFormat="1" customHeight="1" s="1602"/>
    <row r="105" ht="15" customFormat="1" customHeight="1" s="1602"/>
    <row r="106" ht="15" customFormat="1" customHeight="1" s="1602"/>
    <row r="107" ht="15" customFormat="1" customHeight="1" s="1602"/>
    <row r="108" ht="15" customFormat="1" customHeight="1" s="1602"/>
    <row r="109" ht="15" customFormat="1" customHeight="1" s="1602"/>
    <row r="110" ht="15" customFormat="1" customHeight="1" s="1602"/>
    <row r="111" ht="15" customFormat="1" customHeight="1" s="1602"/>
    <row r="112" ht="15" customFormat="1" customHeight="1" s="1602"/>
    <row r="113" ht="15" customFormat="1" customHeight="1" s="1602"/>
    <row r="114" ht="15" customFormat="1" customHeight="1" s="1602"/>
    <row r="115" ht="15" customFormat="1" customHeight="1" s="1602"/>
    <row r="116" ht="15" customFormat="1" customHeight="1" s="1602"/>
    <row r="117" ht="15" customFormat="1" customHeight="1" s="1602"/>
    <row r="118" ht="15" customFormat="1" customHeight="1" s="1602"/>
    <row r="119" ht="15" customFormat="1" customHeight="1" s="1602"/>
    <row r="120" ht="15" customFormat="1" customHeight="1" s="1602"/>
    <row r="121" ht="15" customFormat="1" customHeight="1" s="1602"/>
    <row r="122" ht="15" customFormat="1" customHeight="1" s="1602"/>
    <row r="123" ht="15" customFormat="1" customHeight="1" s="1602"/>
    <row r="124" ht="15" customFormat="1" customHeight="1" s="1602"/>
    <row r="125" ht="15" customFormat="1" customHeight="1" s="1602"/>
    <row r="126" ht="15" customFormat="1" customHeight="1" s="1602"/>
    <row r="127" ht="15" customFormat="1" customHeight="1" s="1602"/>
    <row r="128" ht="15" customFormat="1" customHeight="1" s="1602"/>
    <row r="129" ht="15" customFormat="1" customHeight="1" s="1602"/>
    <row r="130" ht="15" customFormat="1" customHeight="1" s="1602"/>
    <row r="131" ht="15" customFormat="1" customHeight="1" s="1602"/>
    <row r="132" ht="15" customFormat="1" customHeight="1" s="1602"/>
    <row r="133" ht="15" customFormat="1" customHeight="1" s="1602"/>
    <row r="134" ht="15" customFormat="1" customHeight="1" s="1602"/>
    <row r="135" ht="15" customFormat="1" customHeight="1" s="1602"/>
    <row r="136" ht="15" customFormat="1" customHeight="1" s="1602"/>
    <row r="137" ht="15" customFormat="1" customHeight="1" s="1602"/>
    <row r="138" ht="15" customFormat="1" customHeight="1" s="1602"/>
    <row r="139" ht="15" customFormat="1" customHeight="1" s="1602"/>
    <row r="140" ht="15" customFormat="1" customHeight="1" s="1602"/>
    <row r="141" ht="15" customFormat="1" customHeight="1" s="1602"/>
    <row r="142" ht="15" customFormat="1" customHeight="1" s="1602"/>
    <row r="143" ht="15" customFormat="1" customHeight="1" s="1602"/>
    <row r="144" ht="15" customFormat="1" customHeight="1" s="1602"/>
    <row r="145" ht="15" customFormat="1" customHeight="1" s="1602"/>
    <row r="146" ht="15" customFormat="1" customHeight="1" s="1602"/>
    <row r="147" ht="15" customFormat="1" customHeight="1" s="1602"/>
    <row r="148" ht="15" customFormat="1" customHeight="1" s="1602"/>
    <row r="149" ht="15" customFormat="1" customHeight="1" s="1602"/>
    <row r="150" ht="15" customFormat="1" customHeight="1" s="1602"/>
    <row r="151" ht="15" customFormat="1" customHeight="1" s="1602"/>
    <row r="152" ht="15" customFormat="1" customHeight="1" s="1602"/>
    <row r="153" ht="15" customFormat="1" customHeight="1" s="1602"/>
    <row r="154" ht="15" customFormat="1" customHeight="1" s="1602"/>
    <row r="155" ht="15" customFormat="1" customHeight="1" s="1602"/>
    <row r="156" ht="15" customFormat="1" customHeight="1" s="1602"/>
    <row r="157" ht="15" customFormat="1" customHeight="1" s="1602"/>
    <row r="158" ht="15" customFormat="1" customHeight="1" s="1602"/>
    <row r="159" ht="15" customFormat="1" customHeight="1" s="1602"/>
    <row r="160" ht="15" customFormat="1" customHeight="1" s="1602"/>
    <row r="161" ht="15" customFormat="1" customHeight="1" s="1602"/>
    <row r="162" ht="15" customFormat="1" customHeight="1" s="1602"/>
    <row r="163" ht="15" customFormat="1" customHeight="1" s="1602"/>
    <row r="164" ht="15" customFormat="1" customHeight="1" s="1602"/>
    <row r="165" ht="15" customFormat="1" customHeight="1" s="1602"/>
    <row r="166" ht="15" customFormat="1" customHeight="1" s="1602"/>
    <row r="167" ht="15" customFormat="1" customHeight="1" s="1602"/>
    <row r="168" ht="15" customFormat="1" customHeight="1" s="1602"/>
    <row r="169" ht="15" customFormat="1" customHeight="1" s="1602"/>
    <row r="170" ht="15" customFormat="1" customHeight="1" s="1602"/>
    <row r="171" ht="15" customFormat="1" customHeight="1" s="1602"/>
    <row r="172" ht="15" customFormat="1" customHeight="1" s="1602"/>
    <row r="173" ht="15" customFormat="1" customHeight="1" s="1602"/>
    <row r="174" ht="15" customFormat="1" customHeight="1" s="1602"/>
    <row r="175" ht="15" customFormat="1" customHeight="1" s="1602"/>
    <row r="176" ht="15" customFormat="1" customHeight="1" s="1602"/>
    <row r="177" ht="15" customFormat="1" customHeight="1" s="1602"/>
    <row r="178" ht="15" customFormat="1" customHeight="1" s="1602"/>
    <row r="179" ht="15" customFormat="1" customHeight="1" s="1602"/>
    <row r="180" ht="15" customFormat="1" customHeight="1" s="1602"/>
    <row r="181" ht="15" customFormat="1" customHeight="1" s="1602"/>
    <row r="182" ht="15" customFormat="1" customHeight="1" s="1602"/>
    <row r="183" ht="15" customFormat="1" customHeight="1" s="1602"/>
    <row r="184" ht="15" customFormat="1" customHeight="1" s="1602"/>
    <row r="185" ht="15" customFormat="1" customHeight="1" s="1602"/>
    <row r="186" ht="15" customFormat="1" customHeight="1" s="1602"/>
    <row r="187" ht="15" customFormat="1" customHeight="1" s="1602"/>
    <row r="188" ht="15" customFormat="1" customHeight="1" s="1602"/>
    <row r="189" ht="15" customFormat="1" customHeight="1" s="1602"/>
    <row r="190" ht="15" customFormat="1" customHeight="1" s="1602"/>
    <row r="191" ht="15" customFormat="1" customHeight="1" s="1602"/>
    <row r="192" ht="15" customFormat="1" customHeight="1" s="1602"/>
    <row r="193" ht="15" customFormat="1" customHeight="1" s="1602"/>
    <row r="194" ht="15" customFormat="1" customHeight="1" s="1602"/>
    <row r="195" ht="15" customFormat="1" customHeight="1" s="1602"/>
    <row r="196" ht="15" customFormat="1" customHeight="1" s="1602"/>
    <row r="197" ht="15" customFormat="1" customHeight="1" s="1602"/>
    <row r="198" ht="15" customFormat="1" customHeight="1" s="1602"/>
    <row r="199" ht="15" customFormat="1" customHeight="1" s="1602"/>
    <row r="200" ht="15" customFormat="1" customHeight="1" s="1602"/>
    <row r="201" ht="15" customFormat="1" customHeight="1" s="1602"/>
    <row r="202" ht="15" customFormat="1" customHeight="1" s="1602"/>
    <row r="203" ht="15" customFormat="1" customHeight="1" s="1602"/>
    <row r="204" ht="15" customFormat="1" customHeight="1" s="1602"/>
    <row r="205" ht="15" customFormat="1" customHeight="1" s="1602"/>
    <row r="206" ht="15" customFormat="1" customHeight="1" s="1602"/>
    <row r="207" ht="15" customFormat="1" customHeight="1" s="1602"/>
    <row r="208" ht="15" customFormat="1" customHeight="1" s="1602"/>
    <row r="209" ht="15" customFormat="1" customHeight="1" s="1602"/>
    <row r="210" ht="15" customFormat="1" customHeight="1" s="1602"/>
    <row r="211" ht="15" customFormat="1" customHeight="1" s="1602"/>
    <row r="212" ht="15" customFormat="1" customHeight="1" s="1602"/>
    <row r="213" ht="15" customFormat="1" customHeight="1" s="1602"/>
    <row r="214" ht="15" customFormat="1" customHeight="1" s="1602"/>
    <row r="215" ht="15" customFormat="1" customHeight="1" s="1602"/>
    <row r="216" ht="15" customFormat="1" customHeight="1" s="1602"/>
    <row r="217" ht="15" customFormat="1" customHeight="1" s="1602"/>
    <row r="218" ht="15" customFormat="1" customHeight="1" s="1602"/>
    <row r="219" ht="15" customFormat="1" customHeight="1" s="1602"/>
    <row r="220" ht="15" customFormat="1" customHeight="1" s="1602"/>
    <row r="221" ht="15" customFormat="1" customHeight="1" s="1602"/>
    <row r="222" ht="15" customFormat="1" customHeight="1" s="1602"/>
    <row r="223" ht="15" customFormat="1" customHeight="1" s="1602"/>
    <row r="224" ht="15" customFormat="1" customHeight="1" s="1602"/>
    <row r="225" ht="15" customFormat="1" customHeight="1" s="1602"/>
    <row r="226" ht="15" customFormat="1" customHeight="1" s="1602"/>
    <row r="227" ht="15" customFormat="1" customHeight="1" s="1602"/>
    <row r="228" ht="15" customFormat="1" customHeight="1" s="1602"/>
    <row r="229" ht="15" customFormat="1" customHeight="1" s="1602"/>
    <row r="230" ht="15" customFormat="1" customHeight="1" s="1602"/>
    <row r="231" ht="15" customFormat="1" customHeight="1" s="1602"/>
    <row r="232" ht="15" customFormat="1" customHeight="1" s="1602"/>
    <row r="233" ht="15" customFormat="1" customHeight="1" s="1602"/>
    <row r="234" ht="15" customFormat="1" customHeight="1" s="1602"/>
    <row r="235" ht="15" customFormat="1" customHeight="1" s="1602"/>
  </sheetData>
  <mergeCells count="182">
    <mergeCell ref="D20:E20"/>
    <mergeCell ref="G21:H21"/>
    <mergeCell ref="C27:R27"/>
    <mergeCell ref="J35:L35"/>
    <mergeCell ref="A21:C21"/>
    <mergeCell ref="D22:E22"/>
    <mergeCell ref="G23:H23"/>
    <mergeCell ref="A57:C57"/>
    <mergeCell ref="E8:F8"/>
    <mergeCell ref="P22:Q22"/>
    <mergeCell ref="M21:O21"/>
    <mergeCell ref="M46:R46"/>
    <mergeCell ref="C28:R28"/>
    <mergeCell ref="N12:O12"/>
    <mergeCell ref="A23:C23"/>
    <mergeCell ref="M37:R37"/>
    <mergeCell ref="K60:R60"/>
    <mergeCell ref="G57:H57"/>
    <mergeCell ref="A5:O5"/>
    <mergeCell ref="A17:R17"/>
    <mergeCell ref="J50:L50"/>
    <mergeCell ref="P12:R12"/>
    <mergeCell ref="A27:B27"/>
    <mergeCell ref="M24:O24"/>
    <mergeCell ref="C30:R30"/>
    <mergeCell ref="J46:L46"/>
    <mergeCell ref="G34:H34"/>
    <mergeCell ref="P5:R5"/>
    <mergeCell ref="J52:L52"/>
    <mergeCell ref="P14:R14"/>
    <mergeCell ref="J39:L39"/>
    <mergeCell ref="J48:L48"/>
    <mergeCell ref="M43:R43"/>
    <mergeCell ref="I3:K4"/>
    <mergeCell ref="G20:H20"/>
    <mergeCell ref="J38:L38"/>
    <mergeCell ref="D24:E24"/>
    <mergeCell ref="P24:Q24"/>
    <mergeCell ref="A28:B28"/>
    <mergeCell ref="G44:H44"/>
    <mergeCell ref="J40:L40"/>
    <mergeCell ref="G22:H22"/>
    <mergeCell ref="M35:R35"/>
    <mergeCell ref="A3:B4"/>
    <mergeCell ref="J24:L24"/>
    <mergeCell ref="A30:B30"/>
    <mergeCell ref="M54:R54"/>
    <mergeCell ref="A11:B11"/>
    <mergeCell ref="M22:O22"/>
    <mergeCell ref="P25:Q25"/>
    <mergeCell ref="A12:C12"/>
    <mergeCell ref="C3:H4"/>
    <mergeCell ref="G48:H48"/>
    <mergeCell ref="P16:R16"/>
    <mergeCell ref="A56:R56"/>
    <mergeCell ref="I57:J57"/>
    <mergeCell ref="J41:L41"/>
    <mergeCell ref="G38:H38"/>
    <mergeCell ref="M33:R33"/>
    <mergeCell ref="D11:E11"/>
    <mergeCell ref="A14:C14"/>
    <mergeCell ref="M45:R45"/>
    <mergeCell ref="M42:R42"/>
    <mergeCell ref="J43:L43"/>
    <mergeCell ref="M47:R47"/>
    <mergeCell ref="G49:H49"/>
    <mergeCell ref="A26:B26"/>
    <mergeCell ref="C31:P31"/>
    <mergeCell ref="M23:O23"/>
    <mergeCell ref="J20:K20"/>
    <mergeCell ref="H7:L7"/>
    <mergeCell ref="G24:H24"/>
    <mergeCell ref="J42:L42"/>
    <mergeCell ref="K59:R59"/>
    <mergeCell ref="A10:R10"/>
    <mergeCell ref="A58:C58"/>
    <mergeCell ref="C29:R29"/>
    <mergeCell ref="A24:C24"/>
    <mergeCell ref="J44:L44"/>
    <mergeCell ref="K61:R61"/>
    <mergeCell ref="G35:H35"/>
    <mergeCell ref="A60:C60"/>
    <mergeCell ref="M44:R44"/>
    <mergeCell ref="J37:L37"/>
    <mergeCell ref="D23:E23"/>
    <mergeCell ref="D14:H14"/>
    <mergeCell ref="A7:C7"/>
    <mergeCell ref="A16:C16"/>
    <mergeCell ref="M51:R51"/>
    <mergeCell ref="J53:L53"/>
    <mergeCell ref="A63:C64"/>
    <mergeCell ref="G19:I19"/>
    <mergeCell ref="G42:H42"/>
    <mergeCell ref="A18:C18"/>
    <mergeCell ref="M25:O25"/>
    <mergeCell ref="H11:M11"/>
    <mergeCell ref="G39:H39"/>
    <mergeCell ref="J54:L54"/>
    <mergeCell ref="H6:L6"/>
    <mergeCell ref="O20:P20"/>
    <mergeCell ref="Q20:R20"/>
    <mergeCell ref="M36:R36"/>
    <mergeCell ref="A22:C22"/>
    <mergeCell ref="D18:F18"/>
    <mergeCell ref="A32:R32"/>
    <mergeCell ref="G37:H37"/>
    <mergeCell ref="J47:L47"/>
    <mergeCell ref="D63:E64"/>
    <mergeCell ref="A1:R2"/>
    <mergeCell ref="H12:M12"/>
    <mergeCell ref="A20:C20"/>
    <mergeCell ref="E6:F6"/>
    <mergeCell ref="D16:H16"/>
    <mergeCell ref="K58:R58"/>
    <mergeCell ref="C26:R26"/>
    <mergeCell ref="J25:K25"/>
    <mergeCell ref="M50:R50"/>
    <mergeCell ref="A59:C59"/>
    <mergeCell ref="M34:R34"/>
    <mergeCell ref="D25:E25"/>
    <mergeCell ref="E57:F57"/>
    <mergeCell ref="G51:H51"/>
    <mergeCell ref="E7:F7"/>
    <mergeCell ref="G54:H54"/>
    <mergeCell ref="M49:R49"/>
    <mergeCell ref="A61:C61"/>
    <mergeCell ref="G41:H41"/>
    <mergeCell ref="M48:R48"/>
    <mergeCell ref="G50:H50"/>
    <mergeCell ref="J34:L34"/>
    <mergeCell ref="H8:L8"/>
    <mergeCell ref="F11:G11"/>
    <mergeCell ref="G43:H43"/>
    <mergeCell ref="J49:L49"/>
    <mergeCell ref="I14:O14"/>
    <mergeCell ref="G52:H52"/>
    <mergeCell ref="N11:R11"/>
    <mergeCell ref="J36:L36"/>
    <mergeCell ref="L3:O4"/>
    <mergeCell ref="J45:L45"/>
    <mergeCell ref="G18:I18"/>
    <mergeCell ref="G36:H36"/>
    <mergeCell ref="M40:R40"/>
    <mergeCell ref="D21:E21"/>
    <mergeCell ref="H9:L9"/>
    <mergeCell ref="A55:R55"/>
    <mergeCell ref="K62:Q62"/>
    <mergeCell ref="M20:N20"/>
    <mergeCell ref="P21:Q21"/>
    <mergeCell ref="J22:L22"/>
    <mergeCell ref="A8:C8"/>
    <mergeCell ref="I15:O15"/>
    <mergeCell ref="G53:H53"/>
    <mergeCell ref="M41:R41"/>
    <mergeCell ref="E9:F9"/>
    <mergeCell ref="J21:L21"/>
    <mergeCell ref="P23:Q23"/>
    <mergeCell ref="G25:I25"/>
    <mergeCell ref="J51:L51"/>
    <mergeCell ref="M38:R38"/>
    <mergeCell ref="P6:R9"/>
    <mergeCell ref="P15:R15"/>
    <mergeCell ref="A19:C19"/>
    <mergeCell ref="J18:R18"/>
    <mergeCell ref="J23:L23"/>
    <mergeCell ref="A9:C9"/>
    <mergeCell ref="A13:R13"/>
    <mergeCell ref="F63:G64"/>
    <mergeCell ref="G45:H45"/>
    <mergeCell ref="M53:R53"/>
    <mergeCell ref="I16:O16"/>
    <mergeCell ref="D19:F19"/>
    <mergeCell ref="D15:H15"/>
    <mergeCell ref="A29:B29"/>
    <mergeCell ref="G47:H47"/>
    <mergeCell ref="J19:R19"/>
    <mergeCell ref="M52:R52"/>
    <mergeCell ref="K57:R57"/>
    <mergeCell ref="M39:R39"/>
    <mergeCell ref="G46:H46"/>
    <mergeCell ref="G40:H40"/>
    <mergeCell ref="A31:B31"/>
  </mergeCells>
  <conditionalFormatting sqref="S33:W60">
    <cfRule type="expression" rank="0" priority="2" equalAverage="0" aboveAverage="0" dxfId="22" text="" percent="0" bottom="0">
      <formula>NOT($C$3="Nonnetje IPA")</formula>
    </cfRule>
  </conditionalFormatting>
  <conditionalFormatting sqref="S15:W25">
    <cfRule type="expression" rank="0" priority="3" equalAverage="0" aboveAverage="0" dxfId="23" text="" percent="0" bottom="0">
      <formula>NOT($C$3="Super Dupa")</formula>
    </cfRule>
  </conditionalFormatting>
  <conditionalFormatting sqref="P6:R9">
    <cfRule type="containsText" rank="0" priority="4" equalAverage="0" operator="containsText" aboveAverage="0" dxfId="5" text="suiker en gevaarlijk" percent="0" bottom="0">
      <formula>NOT(ISERROR(SEARCH("suiker en gevaarlijk",P6)))</formula>
    </cfRule>
    <cfRule type="containsText" rank="0" priority="5" equalAverage="0" operator="containsText" aboveAverage="0" dxfId="24" text="suikerhoudend" percent="0" bottom="0">
      <formula>NOT(ISERROR(SEARCH("suikerhoudend",P6)))</formula>
    </cfRule>
    <cfRule type="containsText" rank="0" priority="6" equalAverage="0" operator="containsText" aboveAverage="0" dxfId="7" text="Gevaarlijk" percent="0" bottom="0">
      <formula>NOT(ISERROR(SEARCH("Gevaarlijk",P6)))</formula>
    </cfRule>
    <cfRule type="containsText" rank="0" priority="7" equalAverage="0" operator="containsText" aboveAverage="0" dxfId="8" text="Standaard" percent="0" bottom="0">
      <formula>NOT(ISERROR(SEARCH("Standaard",P6)))</formula>
    </cfRule>
    <cfRule type="containsText" rank="0" priority="8" equalAverage="0" operator="containsText" aboveAverage="0" dxfId="9" text="Gevoelig" percent="0" bottom="0">
      <formula>NOT(ISERROR(SEARCH("Gevoelig",P6)))</formula>
    </cfRule>
  </conditionalFormatting>
  <conditionalFormatting sqref="C28:R28">
    <cfRule type="cellIs" rank="0" priority="9" equalAverage="0" operator="equal" aboveAverage="0" dxfId="25" text="" percent="0" bottom="0">
      <formula>""" """</formula>
    </cfRule>
  </conditionalFormatting>
  <conditionalFormatting sqref="C27:R27">
    <cfRule type="cellIs" rank="0" priority="10" equalAverage="0" operator="equal" aboveAverage="0" dxfId="25" text="" percent="0" bottom="0">
      <formula>""" """</formula>
    </cfRule>
  </conditionalFormatting>
  <conditionalFormatting sqref="G20:H20">
    <cfRule type="cellIs" rank="0" priority="11" equalAverage="0" operator="greaterThan" aboveAverage="0" dxfId="12" text="" percent="0" bottom="0">
      <formula>$E$9</formula>
    </cfRule>
  </conditionalFormatting>
  <conditionalFormatting sqref="P25:Q25">
    <cfRule type="cellIs" rank="0" priority="12" equalAverage="0" operator="equal" aboveAverage="0" dxfId="14" text="" percent="0" bottom="0">
      <formula>0</formula>
    </cfRule>
    <cfRule type="cellIs" rank="0" priority="13" equalAverage="0" operator="notBetween" aboveAverage="0" dxfId="12" text="" percent="0" bottom="0">
      <formula>$E$7+$G$7</formula>
      <formula>$E$7-$G$7</formula>
    </cfRule>
  </conditionalFormatting>
  <conditionalFormatting sqref="D25:E25">
    <cfRule type="cellIs" rank="0" priority="14" equalAverage="0" operator="equal" aboveAverage="0" dxfId="14" text="" percent="0" bottom="0">
      <formula>0</formula>
    </cfRule>
    <cfRule type="cellIs" rank="0" priority="15" equalAverage="0" operator="notBetween" aboveAverage="0" dxfId="12" text="" percent="0" bottom="0">
      <formula>$E$8+$G$8</formula>
      <formula>$E$8-$G$8</formula>
    </cfRule>
  </conditionalFormatting>
  <conditionalFormatting sqref="E34:E54">
    <cfRule type="cellIs" rank="0" priority="16" equalAverage="0" operator="greaterThan" aboveAverage="0" dxfId="12" text="" percent="0" bottom="0">
      <formula>$E$9</formula>
    </cfRule>
  </conditionalFormatting>
  <conditionalFormatting sqref="D20:E21">
    <cfRule type="cellIs" rank="0" priority="17" equalAverage="0" operator="greaterThan" aboveAverage="0" dxfId="12" text="" percent="0" bottom="0">
      <formula>$E$9</formula>
    </cfRule>
  </conditionalFormatting>
  <conditionalFormatting sqref="G58:G61">
    <cfRule type="cellIs" rank="0" priority="18" equalAverage="0" operator="greaterThan" aboveAverage="0" dxfId="12" text="" percent="0" bottom="0">
      <formula>$E$9</formula>
    </cfRule>
  </conditionalFormatting>
  <dataValidations count="6">
    <dataValidation sqref="G18" showDropDown="0" showInputMessage="1" showErrorMessage="1" allowBlank="1" type="list" errorStyle="stop" operator="between">
      <formula1>"Bodemklep,Standpijp"</formula1>
      <formula2>0</formula2>
    </dataValidation>
    <dataValidation sqref="R62" showDropDown="0" showInputMessage="1" showErrorMessage="1" allowBlank="1" type="list" errorStyle="stop" operator="between">
      <formula1>"yes,no"</formula1>
      <formula2>0</formula2>
    </dataValidation>
    <dataValidation sqref="J34:L54" showDropDown="0" showInputMessage="1" showErrorMessage="1" allowBlank="1" type="list" errorStyle="stop" operator="between">
      <formula1>"Fill in,Bottle,KEG,Can"</formula1>
      <formula2>0</formula2>
    </dataValidation>
    <dataValidation sqref="R31" showDropDown="0" showInputMessage="1" showErrorMessage="1" allowBlank="1" type="list" errorStyle="stop" operator="between">
      <formula1>"-,Go,Not Go"</formula1>
      <formula2>0</formula2>
    </dataValidation>
    <dataValidation sqref="V40:V42 V54:V56" showDropDown="0" showInputMessage="1" showErrorMessage="1" allowBlank="1" type="list" errorStyle="stop" operator="between">
      <formula1>"Yes,No"</formula1>
      <formula2>0</formula2>
    </dataValidation>
    <dataValidation sqref="U35 U49" showDropDown="0" showInputMessage="1" showErrorMessage="1" allowBlank="1" type="list" errorStyle="stop" operator="between">
      <formula1>"11,12,13,14,15,16,17,18"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V104"/>
  <sheetViews>
    <sheetView showFormulas="0" showGridLines="1" showRowColHeaders="1" showZeros="1" rightToLeft="0" tabSelected="0" showOutlineSymbols="1" defaultGridColor="1" view="normal" topLeftCell="A14" colorId="64" zoomScale="70" zoomScaleNormal="70" zoomScalePageLayoutView="100" workbookViewId="0">
      <selection pane="topLeft" activeCell="I43" activeCellId="0" sqref="I43"/>
    </sheetView>
  </sheetViews>
  <sheetFormatPr baseColWidth="8" defaultColWidth="8.00390625" defaultRowHeight="12.75" zeroHeight="1" outlineLevelRow="0"/>
  <cols>
    <col width="13" customWidth="1" style="1348" min="1" max="1"/>
    <col width="6.62" customWidth="1" style="1348" min="2" max="2"/>
    <col width="28.63" customWidth="1" style="1348" min="3" max="3"/>
    <col width="13.62" customWidth="1" style="1348" min="4" max="4"/>
    <col width="15.5" customWidth="1" style="1348" min="5" max="5"/>
    <col width="7.62" customWidth="1" style="1348" min="6" max="6"/>
    <col width="5.12" customWidth="1" style="1348" min="7" max="7"/>
    <col width="1.12" customWidth="1" style="1346" min="8" max="8"/>
    <col width="20.12" customWidth="1" style="1348" min="9" max="9"/>
    <col width="5.12" customWidth="1" style="1348" min="10" max="10"/>
    <col width="8.619999999999999" customWidth="1" style="1348" min="11" max="11"/>
    <col width="7" customWidth="1" style="1980" min="12" max="12"/>
    <col width="8.619999999999999" customWidth="1" style="1980" min="13" max="18"/>
    <col width="3.5" customWidth="1" style="1348" min="19" max="19"/>
    <col width="10.62" customWidth="1" style="1348" min="20" max="20"/>
    <col width="11.12" customWidth="1" style="1348" min="21" max="21"/>
    <col width="8" customWidth="1" style="1348" min="22" max="22"/>
    <col hidden="1" width="8" customWidth="1" style="1348" min="23" max="16384"/>
  </cols>
  <sheetData>
    <row r="1" ht="15" customFormat="1" customHeight="1" s="1099">
      <c r="A1" s="1826" t="inlineStr">
        <is>
          <t>Afvullen</t>
        </is>
      </c>
      <c r="B1" s="1106" t="n"/>
      <c r="C1" s="1106" t="n"/>
      <c r="D1" s="1106" t="n"/>
      <c r="E1" s="1106" t="n"/>
      <c r="F1" s="1106" t="n"/>
      <c r="G1" s="1106" t="n"/>
      <c r="H1" s="1106" t="n"/>
      <c r="I1" s="1106" t="n"/>
      <c r="J1" s="1106" t="n"/>
      <c r="K1" s="1106" t="n"/>
      <c r="L1" s="1106" t="n"/>
      <c r="M1" s="1106" t="n"/>
      <c r="N1" s="1106" t="n"/>
      <c r="O1" s="1106" t="n"/>
      <c r="P1" s="1106" t="n"/>
      <c r="Q1" s="1106" t="n"/>
      <c r="R1" s="1106" t="n"/>
    </row>
    <row r="2" ht="15" customFormat="1" customHeight="1" s="1099">
      <c r="A2" s="1108" t="n"/>
      <c r="B2" s="1093" t="n"/>
      <c r="C2" s="1093" t="n"/>
      <c r="D2" s="1093" t="n"/>
      <c r="E2" s="1093" t="n"/>
      <c r="F2" s="1093" t="n"/>
      <c r="G2" s="1093" t="n"/>
      <c r="H2" s="1093" t="n"/>
      <c r="I2" s="1093" t="n"/>
      <c r="J2" s="1093" t="n"/>
      <c r="K2" s="1093" t="n"/>
      <c r="L2" s="1093" t="n"/>
      <c r="M2" s="1093" t="n"/>
      <c r="N2" s="1093" t="n"/>
      <c r="O2" s="1093" t="n"/>
      <c r="P2" s="1093" t="n"/>
      <c r="Q2" s="1093" t="n"/>
      <c r="R2" s="1093" t="n"/>
    </row>
    <row r="3" ht="15" customFormat="1" customHeight="1" s="1099">
      <c r="A3" s="1981" t="inlineStr">
        <is>
          <t>Naam bier</t>
        </is>
      </c>
      <c r="B3" s="1076" t="n"/>
      <c r="C3" s="1355">
        <f>Verwerking!C3</f>
        <v/>
      </c>
      <c r="D3" s="1981" t="inlineStr">
        <is>
          <t>Batchnummer:</t>
        </is>
      </c>
      <c r="E3" s="1982">
        <f>'Recept-voorblad'!K3</f>
        <v/>
      </c>
      <c r="F3" s="1075" t="n"/>
      <c r="G3" s="1076" t="n"/>
      <c r="H3" s="1983" t="n"/>
      <c r="I3" s="1984" t="inlineStr">
        <is>
          <t>Afvullingen</t>
        </is>
      </c>
      <c r="J3" s="1075" t="n"/>
      <c r="K3" s="1075" t="n"/>
      <c r="L3" s="1075" t="n"/>
      <c r="M3" s="1075" t="n"/>
      <c r="N3" s="1075" t="n"/>
      <c r="O3" s="1075" t="n"/>
      <c r="P3" s="1075" t="n"/>
      <c r="Q3" s="1075" t="n"/>
      <c r="R3" s="1076" t="n"/>
    </row>
    <row r="4" ht="15" customFormat="1" customHeight="1" s="1099">
      <c r="A4" s="1079" t="n"/>
      <c r="B4" s="1081" t="n"/>
      <c r="C4" s="1264" t="n"/>
      <c r="D4" s="1264" t="n"/>
      <c r="E4" s="1079" t="n"/>
      <c r="F4" s="1080" t="n"/>
      <c r="G4" s="1081" t="n"/>
      <c r="H4" s="1983" t="n"/>
      <c r="I4" s="1080" t="n"/>
      <c r="J4" s="1080" t="n"/>
      <c r="K4" s="1080" t="n"/>
      <c r="L4" s="1080" t="n"/>
      <c r="M4" s="1080" t="n"/>
      <c r="N4" s="1080" t="n"/>
      <c r="O4" s="1080" t="n"/>
      <c r="P4" s="1080" t="n"/>
      <c r="Q4" s="1080" t="n"/>
      <c r="R4" s="1081" t="n"/>
    </row>
    <row r="5" ht="15.75" customFormat="1" customHeight="1" s="1099">
      <c r="A5" s="1985" t="inlineStr">
        <is>
          <t>Productie opdracht specificaties</t>
        </is>
      </c>
      <c r="B5" s="1986" t="n"/>
      <c r="C5" s="1986" t="n"/>
      <c r="D5" s="1987" t="inlineStr">
        <is>
          <t>controleur</t>
        </is>
      </c>
      <c r="E5" s="1988" t="inlineStr">
        <is>
          <t>Bier risico</t>
        </is>
      </c>
      <c r="F5" s="1114" t="n"/>
      <c r="G5" s="1115" t="n"/>
      <c r="H5" s="1989" t="n"/>
      <c r="I5" s="1990" t="n"/>
      <c r="J5" s="1075" t="n"/>
      <c r="K5" s="1075" t="n"/>
      <c r="L5" s="1076" t="n"/>
      <c r="M5" s="1991" t="inlineStr">
        <is>
          <t>Datum</t>
        </is>
      </c>
      <c r="N5" s="1991" t="inlineStr">
        <is>
          <t>Datum</t>
        </is>
      </c>
      <c r="O5" s="1991" t="inlineStr">
        <is>
          <t>Datum</t>
        </is>
      </c>
      <c r="P5" s="1991" t="inlineStr">
        <is>
          <t>Datum</t>
        </is>
      </c>
      <c r="Q5" s="1991" t="inlineStr">
        <is>
          <t>Datum</t>
        </is>
      </c>
      <c r="R5" s="1991" t="inlineStr">
        <is>
          <t>Datum</t>
        </is>
      </c>
    </row>
    <row r="6" ht="15.75" customFormat="1" customHeight="1" s="1099">
      <c r="A6" s="1992" t="inlineStr">
        <is>
          <t>EAN doos fles 24x33cl:</t>
        </is>
      </c>
      <c r="B6" s="1115" t="n"/>
      <c r="C6" s="1993" t="n"/>
      <c r="D6" s="1994" t="n"/>
      <c r="E6" s="1995">
        <f>'Recept-voorblad'!N17</f>
        <v/>
      </c>
      <c r="F6" s="1106" t="n"/>
      <c r="G6" s="1107" t="n"/>
      <c r="H6" s="1996" t="n"/>
      <c r="I6" s="1160" t="n"/>
      <c r="L6" s="1083" t="n"/>
      <c r="M6" s="1997" t="n"/>
      <c r="N6" s="1997" t="n"/>
      <c r="O6" s="1997" t="n"/>
      <c r="P6" s="1997" t="n"/>
      <c r="Q6" s="1997" t="n"/>
      <c r="R6" s="1997" t="n"/>
    </row>
    <row r="7" ht="15.75" customFormat="1" customHeight="1" s="1099">
      <c r="A7" s="1992" t="inlineStr">
        <is>
          <t>EAN doos fles 12x33cl:</t>
        </is>
      </c>
      <c r="B7" s="1115" t="n"/>
      <c r="C7" s="1993" t="n"/>
      <c r="D7" s="1994" t="n"/>
      <c r="E7" s="1147" t="n"/>
      <c r="F7" s="1078" t="n"/>
      <c r="G7" s="1087" t="n"/>
      <c r="H7" s="1996" t="n"/>
      <c r="I7" s="1160" t="n"/>
      <c r="L7" s="1083" t="n"/>
      <c r="M7" s="1991" t="inlineStr">
        <is>
          <t>HBT nr</t>
        </is>
      </c>
      <c r="N7" s="1991" t="inlineStr">
        <is>
          <t>HBT nr</t>
        </is>
      </c>
      <c r="O7" s="1991" t="inlineStr">
        <is>
          <t>HBT nr</t>
        </is>
      </c>
      <c r="P7" s="1991" t="inlineStr">
        <is>
          <t>HBT nr</t>
        </is>
      </c>
      <c r="Q7" s="1991" t="inlineStr">
        <is>
          <t>HBT nr</t>
        </is>
      </c>
      <c r="R7" s="1991" t="inlineStr">
        <is>
          <t>HBT nr</t>
        </is>
      </c>
    </row>
    <row r="8" ht="15.75" customFormat="1" customHeight="1" s="1099">
      <c r="A8" s="1992" t="inlineStr">
        <is>
          <t>EAN doos blik 24x33cl:</t>
        </is>
      </c>
      <c r="B8" s="1115" t="n"/>
      <c r="C8" s="1993" t="n"/>
      <c r="D8" s="1994" t="n"/>
      <c r="E8" s="1147" t="n"/>
      <c r="F8" s="1078" t="n"/>
      <c r="G8" s="1087" t="n"/>
      <c r="H8" s="1996" t="n"/>
      <c r="I8" s="1160" t="n"/>
      <c r="L8" s="1083" t="n"/>
      <c r="M8" s="1998" t="n"/>
      <c r="N8" s="1998" t="n"/>
      <c r="O8" s="1998" t="n"/>
      <c r="P8" s="1998" t="n"/>
      <c r="Q8" s="1998" t="n"/>
      <c r="R8" s="1998" t="n"/>
    </row>
    <row r="9" ht="15.75" customFormat="1" customHeight="1" s="1099">
      <c r="A9" s="1992" t="inlineStr">
        <is>
          <t>EAN doos blik 12x33cl:</t>
        </is>
      </c>
      <c r="B9" s="1115" t="n"/>
      <c r="C9" s="1993" t="n"/>
      <c r="D9" s="1994" t="n"/>
      <c r="E9" s="1147" t="n"/>
      <c r="F9" s="1078" t="n"/>
      <c r="G9" s="1087" t="n"/>
      <c r="H9" s="1996" t="n"/>
      <c r="I9" s="1160" t="n"/>
      <c r="L9" s="1083" t="n"/>
      <c r="M9" s="1291" t="inlineStr">
        <is>
          <t>Start Afvul</t>
        </is>
      </c>
      <c r="N9" s="1291" t="inlineStr">
        <is>
          <t>Start Afvul</t>
        </is>
      </c>
      <c r="O9" s="1291" t="inlineStr">
        <is>
          <t>Start Afvul</t>
        </is>
      </c>
      <c r="P9" s="1291" t="inlineStr">
        <is>
          <t>Start Afvul</t>
        </is>
      </c>
      <c r="Q9" s="1291" t="inlineStr">
        <is>
          <t>Start Afvul</t>
        </is>
      </c>
      <c r="R9" s="1291" t="inlineStr">
        <is>
          <t>Start Afvul</t>
        </is>
      </c>
    </row>
    <row r="10" ht="15.75" customFormat="1" customHeight="1" s="1099">
      <c r="A10" s="1992" t="inlineStr">
        <is>
          <t>Codering fles:</t>
        </is>
      </c>
      <c r="B10" s="1115" t="n"/>
      <c r="C10" s="1999" t="n"/>
      <c r="D10" s="2000" t="n"/>
      <c r="E10" s="1108" t="n"/>
      <c r="F10" s="1093" t="n"/>
      <c r="G10" s="1094" t="n"/>
      <c r="H10" s="1996" t="n"/>
      <c r="I10" s="1160" t="n"/>
      <c r="L10" s="1083" t="n"/>
      <c r="M10" s="2001" t="n">
        <v>0</v>
      </c>
      <c r="N10" s="2001" t="n">
        <v>0</v>
      </c>
      <c r="O10" s="2001" t="n">
        <v>0</v>
      </c>
      <c r="P10" s="2001" t="n">
        <v>0</v>
      </c>
      <c r="Q10" s="2001" t="n">
        <v>0</v>
      </c>
      <c r="R10" s="2001" t="n">
        <v>0</v>
      </c>
    </row>
    <row r="11" ht="15.75" customFormat="1" customHeight="1" s="1099">
      <c r="A11" s="1992" t="inlineStr">
        <is>
          <t>Codering blik:</t>
        </is>
      </c>
      <c r="B11" s="1115" t="n"/>
      <c r="C11" s="1999" t="n"/>
      <c r="D11" s="2000" t="n"/>
      <c r="H11" s="1989" t="n"/>
      <c r="I11" s="1160" t="n"/>
      <c r="L11" s="1083" t="n"/>
      <c r="M11" s="2002" t="inlineStr">
        <is>
          <t>Einde Afvul</t>
        </is>
      </c>
      <c r="N11" s="2002" t="inlineStr">
        <is>
          <t>Einde Afvul</t>
        </is>
      </c>
      <c r="O11" s="2002" t="inlineStr">
        <is>
          <t>Einde Afvul</t>
        </is>
      </c>
      <c r="P11" s="2002" t="inlineStr">
        <is>
          <t>Einde Afvul</t>
        </is>
      </c>
      <c r="Q11" s="2002" t="inlineStr">
        <is>
          <t>Einde Afvul</t>
        </is>
      </c>
      <c r="R11" s="2002" t="inlineStr">
        <is>
          <t>Einde Afvul</t>
        </is>
      </c>
    </row>
    <row r="12" ht="15.75" customFormat="1" customHeight="1" s="1099">
      <c r="A12" s="1992" t="inlineStr">
        <is>
          <t>Codering vat:</t>
        </is>
      </c>
      <c r="B12" s="1115" t="n"/>
      <c r="C12" s="2003" t="n"/>
      <c r="D12" s="2000" t="n"/>
      <c r="H12" s="2004" t="n"/>
      <c r="M12" s="2001" t="n">
        <v>0</v>
      </c>
      <c r="N12" s="2001" t="n">
        <v>0</v>
      </c>
      <c r="O12" s="2001" t="n">
        <v>0</v>
      </c>
      <c r="P12" s="2001" t="n">
        <v>0</v>
      </c>
      <c r="Q12" s="2001" t="n">
        <v>0</v>
      </c>
      <c r="R12" s="2001" t="n">
        <v>0</v>
      </c>
    </row>
    <row r="13" ht="15" customFormat="1" customHeight="1" s="1099">
      <c r="A13" s="1099" t="inlineStr">
        <is>
          <t>Dag nummer</t>
        </is>
      </c>
      <c r="C13" s="2003">
        <f>TODAY()-DATE(2023,12,31)</f>
        <v/>
      </c>
      <c r="D13" s="2000" t="n"/>
      <c r="H13" s="1217" t="n"/>
      <c r="I13" s="2005" t="inlineStr">
        <is>
          <t>Afgevuld door:</t>
        </is>
      </c>
      <c r="J13" s="1114" t="n"/>
      <c r="K13" s="1114" t="n"/>
      <c r="L13" s="1115" t="n"/>
      <c r="M13" s="2006" t="n"/>
      <c r="N13" s="2006" t="n"/>
      <c r="O13" s="2006" t="n"/>
      <c r="P13" s="2006" t="n"/>
      <c r="Q13" s="2006" t="n"/>
      <c r="R13" s="2007" t="n"/>
    </row>
    <row r="14" ht="15.75" customFormat="1" customHeight="1" s="1099">
      <c r="A14" s="1988" t="inlineStr">
        <is>
          <t>Productie opdracht</t>
        </is>
      </c>
      <c r="B14" s="1114" t="n"/>
      <c r="C14" s="1114" t="n"/>
      <c r="D14" s="1114" t="n"/>
      <c r="E14" s="1114" t="n"/>
      <c r="F14" s="1114" t="n"/>
      <c r="G14" s="1115" t="n"/>
      <c r="H14" s="1217" t="n"/>
      <c r="I14" s="1425" t="n"/>
      <c r="J14" s="1425" t="n"/>
      <c r="K14" s="1425" t="n"/>
      <c r="L14" s="1521" t="n"/>
      <c r="M14" s="2008" t="n"/>
      <c r="N14" s="2008" t="n"/>
      <c r="O14" s="2008" t="n"/>
      <c r="P14" s="2008" t="n"/>
      <c r="Q14" s="2008" t="n"/>
      <c r="R14" s="2009" t="n"/>
      <c r="V14" s="1099" t="inlineStr">
        <is>
          <t xml:space="preserve"> </t>
        </is>
      </c>
    </row>
    <row r="15" ht="15" customFormat="1" customHeight="1" s="1099">
      <c r="A15" s="2010" t="inlineStr">
        <is>
          <t>Fles Afvul 1,</t>
        </is>
      </c>
      <c r="B15" s="1114" t="n"/>
      <c r="C15" s="1114" t="n"/>
      <c r="D15" s="1114" t="n"/>
      <c r="E15" s="1114" t="n"/>
      <c r="F15" s="1114" t="n"/>
      <c r="G15" s="1115" t="n"/>
      <c r="H15" s="1217" t="n"/>
      <c r="I15" s="2011" t="n"/>
      <c r="J15" s="2011" t="n"/>
      <c r="K15" s="2011" t="n"/>
      <c r="L15" s="1531" t="n"/>
      <c r="M15" s="2008" t="n"/>
      <c r="N15" s="2008" t="n"/>
      <c r="O15" s="2008" t="n"/>
      <c r="P15" s="2008" t="n"/>
      <c r="Q15" s="2008" t="n"/>
      <c r="R15" s="2009" t="n"/>
    </row>
    <row r="16" ht="15" customFormat="1" customHeight="1" s="1099">
      <c r="A16" s="2012" t="inlineStr">
        <is>
          <t>Flessoort:</t>
        </is>
      </c>
      <c r="B16" s="2012" t="n"/>
      <c r="C16" s="1904" t="n"/>
      <c r="D16" s="2013" t="inlineStr">
        <is>
          <t>Doossoort:</t>
        </is>
      </c>
      <c r="E16" s="1904" t="n"/>
      <c r="F16" s="1315" t="n"/>
      <c r="G16" s="1316" t="n"/>
      <c r="H16" s="1095" t="n"/>
      <c r="I16" s="2014" t="inlineStr">
        <is>
          <t>Monstername door:</t>
        </is>
      </c>
      <c r="J16" s="1114" t="n"/>
      <c r="K16" s="1114" t="n"/>
      <c r="L16" s="1115" t="n"/>
      <c r="M16" s="2008" t="n"/>
      <c r="N16" s="2008" t="n"/>
      <c r="O16" s="2008" t="n"/>
      <c r="P16" s="2008" t="n"/>
      <c r="Q16" s="2008" t="n"/>
      <c r="R16" s="2009" t="n"/>
    </row>
    <row r="17" ht="15" customFormat="1" customHeight="1" s="1099">
      <c r="A17" s="2012" t="inlineStr">
        <is>
          <t>Etiketten:</t>
        </is>
      </c>
      <c r="B17" s="2012" t="n"/>
      <c r="C17" s="1904" t="n"/>
      <c r="D17" s="2013" t="inlineStr">
        <is>
          <t>Codering doos:</t>
        </is>
      </c>
      <c r="E17" s="1904" t="n"/>
      <c r="F17" s="1904" t="n"/>
      <c r="G17" s="1904" t="n"/>
      <c r="H17" s="2004" t="n"/>
      <c r="I17" s="2015" t="inlineStr">
        <is>
          <t>Controle 1e verpakking (twee operators):</t>
        </is>
      </c>
      <c r="J17" s="1114" t="n"/>
      <c r="K17" s="1114" t="n"/>
      <c r="L17" s="1115" t="n"/>
      <c r="M17" s="2008" t="n"/>
      <c r="N17" s="2008" t="n"/>
      <c r="O17" s="2008" t="n"/>
      <c r="P17" s="2008" t="n"/>
      <c r="Q17" s="2008" t="n"/>
      <c r="R17" s="2009" t="n"/>
    </row>
    <row r="18" ht="15" customFormat="1" customHeight="1" s="1099">
      <c r="A18" s="2012" t="inlineStr">
        <is>
          <t>Codering fles:</t>
        </is>
      </c>
      <c r="B18" s="2012" t="n"/>
      <c r="C18" s="1904" t="n"/>
      <c r="D18" s="2013" t="inlineStr">
        <is>
          <t>Ean code doos:</t>
        </is>
      </c>
      <c r="E18" s="1904" t="n"/>
      <c r="F18" s="1904" t="n"/>
      <c r="G18" s="1904" t="n"/>
      <c r="H18" s="1217" t="n"/>
      <c r="I18" s="2014" t="inlineStr">
        <is>
          <t>Vulpijp-detectiecontrole 1e verpakking:</t>
        </is>
      </c>
      <c r="J18" s="1114" t="n"/>
      <c r="K18" s="1114" t="n"/>
      <c r="L18" s="1115" t="n"/>
      <c r="M18" s="2008" t="n"/>
      <c r="N18" s="2008" t="n"/>
      <c r="O18" s="2008" t="n"/>
      <c r="P18" s="2008" t="n"/>
      <c r="Q18" s="2008" t="n"/>
      <c r="R18" s="2009" t="n"/>
    </row>
    <row r="19" ht="15" customFormat="1" customHeight="1" s="1099">
      <c r="A19" s="2015" t="inlineStr">
        <is>
          <t>Kroonkurk:</t>
        </is>
      </c>
      <c r="B19" s="2015" t="n"/>
      <c r="C19" s="1904" t="n"/>
      <c r="D19" s="2016" t="inlineStr">
        <is>
          <t>Logo doos:</t>
        </is>
      </c>
      <c r="E19" s="2017" t="n"/>
      <c r="F19" s="2017" t="n"/>
      <c r="G19" s="2017" t="n"/>
      <c r="H19" s="1217" t="n"/>
      <c r="I19" s="2015" t="inlineStr">
        <is>
          <t>Vulpijp-detectiecontrole einde batch:</t>
        </is>
      </c>
      <c r="J19" s="1114" t="n"/>
      <c r="K19" s="1114" t="n"/>
      <c r="L19" s="1115" t="n"/>
      <c r="M19" s="2008" t="n"/>
      <c r="N19" s="2008" t="n"/>
      <c r="O19" s="2008" t="n"/>
      <c r="P19" s="2008" t="n"/>
      <c r="Q19" s="2008" t="n"/>
      <c r="R19" s="2009" t="n"/>
    </row>
    <row r="20" ht="15" customFormat="1" customHeight="1" s="1099">
      <c r="A20" s="2010" t="inlineStr">
        <is>
          <t>Fles Afvul 2,</t>
        </is>
      </c>
      <c r="B20" s="2010" t="n"/>
      <c r="C20" s="2010" t="n"/>
      <c r="D20" s="2010" t="n"/>
      <c r="E20" s="2010" t="n"/>
      <c r="F20" s="2010" t="n"/>
      <c r="G20" s="2010" t="n"/>
      <c r="H20" s="1217" t="n"/>
      <c r="I20" s="2014" t="inlineStr">
        <is>
          <t>Klapflessen</t>
        </is>
      </c>
      <c r="J20" s="1114" t="n"/>
      <c r="K20" s="1114" t="n"/>
      <c r="L20" s="1115" t="n"/>
      <c r="M20" s="2008" t="n"/>
      <c r="N20" s="2008" t="n"/>
      <c r="O20" s="2008" t="n"/>
      <c r="P20" s="2008" t="n"/>
      <c r="Q20" s="2008" t="n"/>
      <c r="R20" s="2009" t="n"/>
    </row>
    <row r="21" ht="15" customFormat="1" customHeight="1" s="1099">
      <c r="A21" s="2012" t="inlineStr">
        <is>
          <t>Flessoort:</t>
        </is>
      </c>
      <c r="B21" s="2012" t="n"/>
      <c r="C21" s="1904" t="n"/>
      <c r="D21" s="2013" t="inlineStr">
        <is>
          <t>Doossoort:</t>
        </is>
      </c>
      <c r="E21" s="2018" t="n"/>
      <c r="F21" s="2019" t="n"/>
      <c r="G21" s="1906" t="n"/>
      <c r="H21" s="1095" t="n"/>
      <c r="I21" s="2020" t="inlineStr">
        <is>
          <t>Klapfles beheerst?</t>
        </is>
      </c>
      <c r="J21" s="1114" t="n"/>
      <c r="K21" s="1114" t="n"/>
      <c r="L21" s="1115" t="n"/>
      <c r="M21" s="2021" t="inlineStr">
        <is>
          <t>Y/N</t>
        </is>
      </c>
      <c r="N21" s="2021" t="inlineStr">
        <is>
          <t>Y/N</t>
        </is>
      </c>
      <c r="O21" s="2021" t="inlineStr">
        <is>
          <t>Y/N</t>
        </is>
      </c>
      <c r="P21" s="2021" t="inlineStr">
        <is>
          <t>Y/N</t>
        </is>
      </c>
      <c r="Q21" s="2021" t="inlineStr">
        <is>
          <t>Y/N</t>
        </is>
      </c>
      <c r="R21" s="2021" t="inlineStr">
        <is>
          <t>Y/N</t>
        </is>
      </c>
      <c r="T21" s="1099" t="inlineStr">
        <is>
          <t xml:space="preserve"> </t>
        </is>
      </c>
      <c r="U21" s="1099" t="inlineStr">
        <is>
          <t xml:space="preserve"> </t>
        </is>
      </c>
      <c r="V21" s="1099" t="inlineStr">
        <is>
          <t xml:space="preserve"> </t>
        </is>
      </c>
    </row>
    <row r="22" ht="15" customFormat="1" customHeight="1" s="1099">
      <c r="A22" s="2012" t="inlineStr">
        <is>
          <t>Etiketten:</t>
        </is>
      </c>
      <c r="B22" s="2012" t="n"/>
      <c r="C22" s="1904" t="n"/>
      <c r="D22" s="2013" t="inlineStr">
        <is>
          <t>Codering doos:</t>
        </is>
      </c>
      <c r="E22" s="1904" t="n"/>
      <c r="F22" s="1904" t="n"/>
      <c r="G22" s="1904" t="n"/>
      <c r="H22" s="2004" t="n"/>
      <c r="T22" s="1343" t="inlineStr">
        <is>
          <t xml:space="preserve"> </t>
        </is>
      </c>
      <c r="U22" s="1343" t="inlineStr">
        <is>
          <t xml:space="preserve"> </t>
        </is>
      </c>
      <c r="V22" s="1343" t="inlineStr">
        <is>
          <t xml:space="preserve"> </t>
        </is>
      </c>
    </row>
    <row r="23" ht="15" customFormat="1" customHeight="1" s="1099">
      <c r="A23" s="2012" t="inlineStr">
        <is>
          <t>Codering fles:</t>
        </is>
      </c>
      <c r="B23" s="2012" t="n"/>
      <c r="C23" s="1904" t="n"/>
      <c r="D23" s="2013" t="inlineStr">
        <is>
          <t>Ean code doos:</t>
        </is>
      </c>
      <c r="E23" s="1904" t="n"/>
      <c r="F23" s="1904" t="n"/>
      <c r="G23" s="1904" t="n"/>
      <c r="H23" s="1095" t="n"/>
      <c r="I23" s="2022" t="inlineStr">
        <is>
          <t>Parameter</t>
        </is>
      </c>
      <c r="J23" s="2023" t="inlineStr">
        <is>
          <t>[unit]</t>
        </is>
      </c>
      <c r="K23" s="2023" t="inlineStr">
        <is>
          <t>spec,</t>
        </is>
      </c>
      <c r="L23" s="2024" t="inlineStr">
        <is>
          <t>+/-</t>
        </is>
      </c>
      <c r="M23" s="2025" t="inlineStr">
        <is>
          <t>waarde</t>
        </is>
      </c>
      <c r="N23" s="2026" t="inlineStr">
        <is>
          <t>waarde</t>
        </is>
      </c>
      <c r="O23" s="2026" t="inlineStr">
        <is>
          <t>waarde</t>
        </is>
      </c>
      <c r="P23" s="2026" t="inlineStr">
        <is>
          <t>waarde</t>
        </is>
      </c>
      <c r="Q23" s="2026" t="inlineStr">
        <is>
          <t>waarde</t>
        </is>
      </c>
      <c r="R23" s="2026" t="inlineStr">
        <is>
          <t>waarde</t>
        </is>
      </c>
      <c r="T23" s="1343" t="inlineStr">
        <is>
          <t>pack type</t>
        </is>
      </c>
      <c r="U23" s="2027" t="inlineStr">
        <is>
          <t>can 330ml</t>
        </is>
      </c>
      <c r="V23" s="1343" t="inlineStr">
        <is>
          <t xml:space="preserve"> </t>
        </is>
      </c>
    </row>
    <row r="24" ht="15" customFormat="1" customHeight="1" s="1099">
      <c r="A24" s="2015" t="inlineStr">
        <is>
          <t>Kroonkurk:</t>
        </is>
      </c>
      <c r="B24" s="2015" t="n"/>
      <c r="C24" s="1904" t="n"/>
      <c r="D24" s="2016" t="inlineStr">
        <is>
          <t>Logo doos:</t>
        </is>
      </c>
      <c r="E24" s="2017" t="n"/>
      <c r="F24" s="2017" t="n"/>
      <c r="G24" s="2017" t="n"/>
      <c r="H24" s="1095" t="n"/>
      <c r="I24" s="1383" t="inlineStr">
        <is>
          <t>time</t>
        </is>
      </c>
      <c r="J24" s="2028" t="n"/>
      <c r="K24" s="2029" t="n"/>
      <c r="L24" s="2030" t="n"/>
      <c r="M24" s="2031" t="n"/>
      <c r="N24" s="2031" t="n"/>
      <c r="O24" s="2031" t="n"/>
      <c r="P24" s="2031" t="n"/>
      <c r="Q24" s="2031" t="n"/>
      <c r="R24" s="2031" t="n"/>
      <c r="T24" s="1343" t="inlineStr">
        <is>
          <t>weigh MT</t>
        </is>
      </c>
      <c r="U24" s="2032" t="n"/>
      <c r="V24" s="1343" t="inlineStr">
        <is>
          <t>g</t>
        </is>
      </c>
    </row>
    <row r="25" ht="15" customFormat="1" customHeight="1" s="1099">
      <c r="A25" s="2010" t="inlineStr">
        <is>
          <t>Fles Afvul 3,</t>
        </is>
      </c>
      <c r="B25" s="2010" t="n"/>
      <c r="C25" s="2010" t="n"/>
      <c r="D25" s="2010" t="n"/>
      <c r="E25" s="2010" t="n"/>
      <c r="F25" s="2010" t="n"/>
      <c r="G25" s="2010" t="n"/>
      <c r="H25" s="2004" t="n"/>
      <c r="I25" s="1401" t="inlineStr">
        <is>
          <t>TPO Fles / Can 1</t>
        </is>
      </c>
      <c r="J25" s="1983" t="inlineStr">
        <is>
          <t>[ppb]</t>
        </is>
      </c>
      <c r="K25" s="1131">
        <f>'Recept-voorblad'!$M$16+'Recept-voorblad'!$M$17</f>
        <v/>
      </c>
      <c r="L25" s="2033" t="inlineStr">
        <is>
          <t>&lt;</t>
        </is>
      </c>
      <c r="M25" s="2034" t="n"/>
      <c r="N25" s="2034" t="n"/>
      <c r="O25" s="2034" t="n"/>
      <c r="P25" s="2034" t="n"/>
      <c r="Q25" s="2034" t="n"/>
      <c r="R25" s="2034" t="n"/>
      <c r="T25" s="1343" t="inlineStr">
        <is>
          <t>contents 1</t>
        </is>
      </c>
      <c r="U25" s="2035" t="n"/>
      <c r="V25" s="1343" t="inlineStr">
        <is>
          <t>g</t>
        </is>
      </c>
    </row>
    <row r="26" ht="15" customFormat="1" customHeight="1" s="1099">
      <c r="A26" s="2012" t="inlineStr">
        <is>
          <t>Flessoort:</t>
        </is>
      </c>
      <c r="B26" s="2012" t="n"/>
      <c r="C26" s="1904" t="n"/>
      <c r="D26" s="2013" t="inlineStr">
        <is>
          <t>Doossoort:</t>
        </is>
      </c>
      <c r="E26" s="2018" t="n"/>
      <c r="F26" s="2019" t="n"/>
      <c r="G26" s="1906" t="n"/>
      <c r="H26" s="2036" t="n"/>
      <c r="I26" s="1401" t="inlineStr">
        <is>
          <t>HSO Fles / Can 1</t>
        </is>
      </c>
      <c r="J26" s="1983" t="inlineStr">
        <is>
          <t>[ppb]</t>
        </is>
      </c>
      <c r="K26" s="1131">
        <f>'Recept-voorblad'!$M$16</f>
        <v/>
      </c>
      <c r="L26" s="2033">
        <f>'Recept-voorblad'!$L$16</f>
        <v/>
      </c>
      <c r="M26" s="2034" t="n"/>
      <c r="N26" s="2034" t="n"/>
      <c r="O26" s="2034" t="n"/>
      <c r="P26" s="2034" t="n"/>
      <c r="Q26" s="2034" t="n"/>
      <c r="R26" s="2034" t="n"/>
      <c r="T26" s="1343" t="inlineStr">
        <is>
          <t>contents 2</t>
        </is>
      </c>
      <c r="U26" s="2037" t="n"/>
      <c r="V26" s="1343" t="inlineStr">
        <is>
          <t>g</t>
        </is>
      </c>
    </row>
    <row r="27" ht="15" customFormat="1" customHeight="1" s="1099">
      <c r="A27" s="2012" t="inlineStr">
        <is>
          <t>Etiketten:</t>
        </is>
      </c>
      <c r="B27" s="2012" t="n"/>
      <c r="C27" s="1904" t="n"/>
      <c r="D27" s="2013" t="inlineStr">
        <is>
          <t>Codering doos:</t>
        </is>
      </c>
      <c r="E27" s="1904" t="n"/>
      <c r="F27" s="1904" t="n"/>
      <c r="G27" s="1904" t="n"/>
      <c r="H27" s="2036" t="n"/>
      <c r="I27" s="1401" t="inlineStr">
        <is>
          <t>DO Fles / Can 1</t>
        </is>
      </c>
      <c r="J27" s="1983" t="inlineStr">
        <is>
          <t>[ppb]</t>
        </is>
      </c>
      <c r="K27" s="1131">
        <f>'Recept-voorblad'!$M$17</f>
        <v/>
      </c>
      <c r="L27" s="2033" t="n"/>
      <c r="M27" s="2034" t="n"/>
      <c r="N27" s="2034" t="n"/>
      <c r="O27" s="2034" t="n"/>
      <c r="P27" s="2034" t="n"/>
      <c r="Q27" s="2034" t="n"/>
      <c r="R27" s="2034" t="n"/>
      <c r="T27" s="1343" t="inlineStr">
        <is>
          <t>contents 3</t>
        </is>
      </c>
      <c r="U27" s="2038" t="n"/>
      <c r="V27" s="1343" t="inlineStr">
        <is>
          <t>g</t>
        </is>
      </c>
    </row>
    <row r="28" ht="15" customFormat="1" customHeight="1" s="1099">
      <c r="A28" s="2012" t="inlineStr">
        <is>
          <t>Codering fles:</t>
        </is>
      </c>
      <c r="B28" s="2012" t="n"/>
      <c r="C28" s="1904" t="n"/>
      <c r="D28" s="2013" t="inlineStr">
        <is>
          <t>Ean code doos:</t>
        </is>
      </c>
      <c r="E28" s="1904" t="n"/>
      <c r="F28" s="1904" t="n"/>
      <c r="G28" s="1904" t="n"/>
      <c r="H28" s="2039" t="n"/>
      <c r="I28" s="2040" t="inlineStr">
        <is>
          <t>HS vol.</t>
        </is>
      </c>
      <c r="J28" s="1983" t="n"/>
      <c r="K28" s="1131" t="n"/>
      <c r="L28" s="2033" t="n"/>
      <c r="M28" s="2034" t="n"/>
      <c r="N28" s="2034" t="n"/>
      <c r="O28" s="2034" t="n"/>
      <c r="P28" s="2034" t="n"/>
      <c r="Q28" s="2034" t="n"/>
      <c r="R28" s="2034" t="n"/>
      <c r="T28" s="1343" t="inlineStr">
        <is>
          <t>contents 4</t>
        </is>
      </c>
      <c r="U28" s="2038" t="n"/>
      <c r="V28" s="1343" t="inlineStr">
        <is>
          <t>g</t>
        </is>
      </c>
    </row>
    <row r="29" ht="15" customFormat="1" customHeight="1" s="1099">
      <c r="A29" s="2015" t="inlineStr">
        <is>
          <t>Kroonkurk:</t>
        </is>
      </c>
      <c r="B29" s="2015" t="n"/>
      <c r="C29" s="1904" t="n"/>
      <c r="D29" s="2016" t="inlineStr">
        <is>
          <t>Logo doos:</t>
        </is>
      </c>
      <c r="E29" s="2017" t="n"/>
      <c r="F29" s="2017" t="n"/>
      <c r="G29" s="2017" t="n"/>
      <c r="H29" s="2039" t="n"/>
      <c r="I29" s="2040" t="inlineStr">
        <is>
          <t>Druk</t>
        </is>
      </c>
      <c r="J29" s="1983" t="n"/>
      <c r="K29" s="1131" t="n"/>
      <c r="L29" s="2033" t="n"/>
      <c r="M29" s="2034" t="n"/>
      <c r="N29" s="2034" t="n"/>
      <c r="O29" s="2034" t="n"/>
      <c r="P29" s="2034" t="n"/>
      <c r="Q29" s="2034" t="n"/>
      <c r="R29" s="2034" t="n"/>
      <c r="T29" s="1343" t="inlineStr">
        <is>
          <t>contents 5</t>
        </is>
      </c>
      <c r="U29" s="2038" t="n"/>
      <c r="V29" s="1343" t="inlineStr">
        <is>
          <t>g</t>
        </is>
      </c>
    </row>
    <row r="30" ht="17.25" customFormat="1" customHeight="1" s="1099">
      <c r="A30" s="2010" t="inlineStr">
        <is>
          <t>Blik Afvul 1,</t>
        </is>
      </c>
      <c r="B30" s="2010" t="n"/>
      <c r="C30" s="2010" t="n"/>
      <c r="D30" s="2010" t="n"/>
      <c r="E30" s="2010" t="n"/>
      <c r="F30" s="2010" t="n"/>
      <c r="G30" s="2010" t="n"/>
      <c r="H30" s="2039" t="n"/>
      <c r="I30" s="2040" t="inlineStr">
        <is>
          <t>Temp(00C)</t>
        </is>
      </c>
      <c r="J30" s="1983" t="n"/>
      <c r="K30" s="1131" t="n"/>
      <c r="L30" s="2033" t="n"/>
      <c r="M30" s="2034" t="n"/>
      <c r="N30" s="2034" t="n"/>
      <c r="O30" s="2034" t="n"/>
      <c r="P30" s="2034" t="n"/>
      <c r="Q30" s="2034" t="n"/>
      <c r="R30" s="2034" t="n"/>
      <c r="T30" s="1343" t="inlineStr">
        <is>
          <t>contents 6</t>
        </is>
      </c>
      <c r="U30" s="2038" t="n"/>
      <c r="V30" s="1343" t="inlineStr">
        <is>
          <t>g</t>
        </is>
      </c>
    </row>
    <row r="31" ht="17.25" customFormat="1" customHeight="1" s="1099">
      <c r="A31" s="2012" t="inlineStr">
        <is>
          <t>bliksoort:</t>
        </is>
      </c>
      <c r="B31" s="2012" t="n"/>
      <c r="C31" s="1904" t="n"/>
      <c r="D31" s="2013" t="inlineStr">
        <is>
          <t>Doossoort:</t>
        </is>
      </c>
      <c r="E31" s="2018" t="n"/>
      <c r="F31" s="2019" t="n"/>
      <c r="G31" s="1906" t="n"/>
      <c r="H31" s="2039" t="n"/>
      <c r="I31" s="1401" t="inlineStr">
        <is>
          <t>CO2 Fles / Can 1 (200C)</t>
        </is>
      </c>
      <c r="J31" s="1983" t="inlineStr">
        <is>
          <t>[g/l]</t>
        </is>
      </c>
      <c r="K31" s="1127">
        <f>'Recept-voorblad'!$M$13</f>
        <v/>
      </c>
      <c r="L31" s="2033">
        <f>'Recept-voorblad'!$L$13</f>
        <v/>
      </c>
      <c r="M31" s="2034" t="n"/>
      <c r="N31" s="2034" t="n"/>
      <c r="O31" s="2034" t="n"/>
      <c r="P31" s="2034" t="n"/>
      <c r="Q31" s="2034" t="n"/>
      <c r="R31" s="2034" t="n"/>
      <c r="T31" s="1343" t="inlineStr">
        <is>
          <t>contents 7</t>
        </is>
      </c>
      <c r="U31" s="2038" t="n"/>
      <c r="V31" s="1343" t="inlineStr">
        <is>
          <t>g</t>
        </is>
      </c>
    </row>
    <row r="32" ht="15.75" customFormat="1" customHeight="1" s="1099">
      <c r="A32" s="2012" t="inlineStr">
        <is>
          <t>Etiketten:</t>
        </is>
      </c>
      <c r="B32" s="2012" t="n"/>
      <c r="C32" s="1904" t="n"/>
      <c r="D32" s="2013" t="inlineStr">
        <is>
          <t>Codering doos:</t>
        </is>
      </c>
      <c r="E32" s="1904" t="n"/>
      <c r="F32" s="1904" t="n"/>
      <c r="G32" s="1904" t="n"/>
      <c r="H32" s="2041" t="n"/>
      <c r="I32" s="2042" t="inlineStr">
        <is>
          <t>CO2 Fust 1</t>
        </is>
      </c>
      <c r="J32" s="2043" t="inlineStr">
        <is>
          <t>[g/l]</t>
        </is>
      </c>
      <c r="K32" s="1127">
        <f>'Recept-voorblad'!$M$15</f>
        <v/>
      </c>
      <c r="L32" s="2033">
        <f>'Recept-voorblad'!$L$15</f>
        <v/>
      </c>
      <c r="M32" s="2044" t="n"/>
      <c r="N32" s="2044" t="n"/>
      <c r="O32" s="2044" t="n"/>
      <c r="P32" s="2044" t="n"/>
      <c r="Q32" s="2044" t="n"/>
      <c r="R32" s="2044" t="n"/>
      <c r="T32" s="1343" t="inlineStr">
        <is>
          <t>contents 8</t>
        </is>
      </c>
      <c r="U32" s="2038" t="n"/>
      <c r="V32" s="1343" t="inlineStr">
        <is>
          <t>g</t>
        </is>
      </c>
    </row>
    <row r="33" ht="15" customFormat="1" customHeight="1" s="1099">
      <c r="A33" s="2012" t="inlineStr">
        <is>
          <t>Codering blik:</t>
        </is>
      </c>
      <c r="B33" s="2012" t="n"/>
      <c r="C33" s="1904" t="n"/>
      <c r="D33" s="2013" t="inlineStr">
        <is>
          <t>Ean code doos:</t>
        </is>
      </c>
      <c r="E33" s="1904" t="n"/>
      <c r="F33" s="1904" t="n"/>
      <c r="G33" s="1904" t="n"/>
      <c r="H33" s="2045" t="n"/>
      <c r="I33" s="2046" t="inlineStr">
        <is>
          <t>Zuurstof Fust 1</t>
        </is>
      </c>
      <c r="J33" s="2047" t="inlineStr">
        <is>
          <t>[ppb]</t>
        </is>
      </c>
      <c r="K33" s="2048">
        <f>'Recept-voorblad'!$M$17</f>
        <v/>
      </c>
      <c r="L33" s="2049">
        <f>'Recept-voorblad'!$L$17</f>
        <v/>
      </c>
      <c r="M33" s="2050" t="n"/>
      <c r="N33" s="2050" t="n"/>
      <c r="O33" s="2050" t="n"/>
      <c r="P33" s="2050" t="n"/>
      <c r="Q33" s="2050" t="n"/>
      <c r="R33" s="2050" t="n"/>
      <c r="T33" s="1343" t="inlineStr">
        <is>
          <t>contents 9</t>
        </is>
      </c>
      <c r="U33" s="2038" t="n"/>
      <c r="V33" s="1343" t="inlineStr">
        <is>
          <t>g</t>
        </is>
      </c>
    </row>
    <row r="34" ht="15" customFormat="1" customHeight="1" s="1099">
      <c r="A34" s="2015" t="inlineStr">
        <is>
          <t>deksel:</t>
        </is>
      </c>
      <c r="B34" s="2015" t="n"/>
      <c r="C34" s="1904" t="n"/>
      <c r="D34" s="2016" t="inlineStr">
        <is>
          <t>Logo doos:</t>
        </is>
      </c>
      <c r="E34" s="2017" t="n"/>
      <c r="F34" s="2017" t="n"/>
      <c r="G34" s="2017" t="n"/>
      <c r="H34" s="2051" t="n"/>
      <c r="I34" s="1383" t="inlineStr">
        <is>
          <t>time</t>
        </is>
      </c>
      <c r="J34" s="2028" t="n"/>
      <c r="K34" s="2029" t="n"/>
      <c r="L34" s="2030" t="n"/>
      <c r="M34" s="2031" t="n"/>
      <c r="N34" s="2031" t="n"/>
      <c r="O34" s="2031" t="n"/>
      <c r="P34" s="2031" t="n"/>
      <c r="Q34" s="2031" t="n"/>
      <c r="R34" s="2031" t="n"/>
      <c r="T34" s="1343" t="inlineStr">
        <is>
          <t>contents 10</t>
        </is>
      </c>
      <c r="U34" s="2038" t="n"/>
      <c r="V34" s="1343" t="inlineStr">
        <is>
          <t>g</t>
        </is>
      </c>
    </row>
    <row r="35" ht="15" customFormat="1" customHeight="1" s="1099">
      <c r="A35" s="2010" t="inlineStr">
        <is>
          <t>Blik Afvul 2,</t>
        </is>
      </c>
      <c r="B35" s="2010" t="n"/>
      <c r="C35" s="2010" t="n"/>
      <c r="D35" s="2010" t="n"/>
      <c r="E35" s="2010" t="n"/>
      <c r="F35" s="2010" t="n"/>
      <c r="G35" s="2010" t="n"/>
      <c r="H35" s="2051" t="n"/>
      <c r="I35" s="1401" t="inlineStr">
        <is>
          <t>TPO Fles / Can 2</t>
        </is>
      </c>
      <c r="J35" s="1983" t="inlineStr">
        <is>
          <t>[ppb]</t>
        </is>
      </c>
      <c r="K35" s="1131">
        <f>'Recept-voorblad'!$M$16+'Recept-voorblad'!$M$17</f>
        <v/>
      </c>
      <c r="L35" s="2033" t="inlineStr">
        <is>
          <t>&lt;</t>
        </is>
      </c>
      <c r="M35" s="2034" t="n"/>
      <c r="N35" s="2034" t="n"/>
      <c r="O35" s="2034" t="n"/>
      <c r="P35" s="2034" t="n"/>
      <c r="Q35" s="2034" t="n"/>
      <c r="R35" s="2034" t="n"/>
      <c r="T35" s="1343" t="inlineStr">
        <is>
          <t>contents 11</t>
        </is>
      </c>
      <c r="U35" s="2038" t="n"/>
      <c r="V35" s="1343" t="inlineStr">
        <is>
          <t>g</t>
        </is>
      </c>
    </row>
    <row r="36" ht="15" customFormat="1" customHeight="1" s="1099">
      <c r="A36" s="2012" t="inlineStr">
        <is>
          <t>bliksoort:</t>
        </is>
      </c>
      <c r="B36" s="2012" t="n"/>
      <c r="C36" s="1904" t="n"/>
      <c r="D36" s="2013" t="inlineStr">
        <is>
          <t>Doossoort:</t>
        </is>
      </c>
      <c r="E36" s="2018" t="n"/>
      <c r="F36" s="2019" t="n"/>
      <c r="G36" s="1906" t="n"/>
      <c r="H36" s="2052" t="n"/>
      <c r="I36" s="1401" t="inlineStr">
        <is>
          <t>HSO Fles / Can 2</t>
        </is>
      </c>
      <c r="J36" s="1983" t="inlineStr">
        <is>
          <t>[ppb]</t>
        </is>
      </c>
      <c r="K36" s="1131">
        <f>'Recept-voorblad'!$M$16</f>
        <v/>
      </c>
      <c r="L36" s="2033">
        <f>'Recept-voorblad'!$L$16</f>
        <v/>
      </c>
      <c r="M36" s="2034" t="n"/>
      <c r="N36" s="2034" t="n"/>
      <c r="O36" s="2034" t="n"/>
      <c r="P36" s="2034" t="n"/>
      <c r="Q36" s="2034" t="n"/>
      <c r="R36" s="2034" t="n"/>
      <c r="T36" s="1343" t="inlineStr">
        <is>
          <t>contents 12</t>
        </is>
      </c>
      <c r="U36" s="2038" t="n"/>
      <c r="V36" s="1343" t="inlineStr">
        <is>
          <t>g</t>
        </is>
      </c>
    </row>
    <row r="37" ht="15" customFormat="1" customHeight="1" s="1099">
      <c r="A37" s="2012" t="inlineStr">
        <is>
          <t>Etiketten:</t>
        </is>
      </c>
      <c r="B37" s="2012" t="n"/>
      <c r="C37" s="1904" t="n"/>
      <c r="D37" s="2013" t="inlineStr">
        <is>
          <t>Codering doos:</t>
        </is>
      </c>
      <c r="E37" s="1904" t="n"/>
      <c r="F37" s="1904" t="n"/>
      <c r="G37" s="1904" t="n"/>
      <c r="H37" s="2052" t="n"/>
      <c r="I37" s="1401" t="inlineStr">
        <is>
          <t>DO Fles / Can 2</t>
        </is>
      </c>
      <c r="J37" s="1983" t="inlineStr">
        <is>
          <t>[ppb]</t>
        </is>
      </c>
      <c r="K37" s="1131">
        <f>'Recept-voorblad'!$M$17</f>
        <v/>
      </c>
      <c r="L37" s="2033" t="n"/>
      <c r="M37" s="2034" t="n"/>
      <c r="N37" s="2034" t="n"/>
      <c r="O37" s="2034" t="n"/>
      <c r="P37" s="2034" t="n"/>
      <c r="Q37" s="2034" t="n"/>
      <c r="R37" s="2034" t="n"/>
      <c r="T37" s="1343" t="inlineStr">
        <is>
          <t>contents 13</t>
        </is>
      </c>
      <c r="U37" s="2038" t="n"/>
      <c r="V37" s="1343" t="inlineStr">
        <is>
          <t>g</t>
        </is>
      </c>
    </row>
    <row r="38" ht="15" customFormat="1" customHeight="1" s="1099">
      <c r="A38" s="2012" t="inlineStr">
        <is>
          <t>Codering blik:</t>
        </is>
      </c>
      <c r="B38" s="2012" t="n"/>
      <c r="C38" s="1904" t="n"/>
      <c r="D38" s="2013" t="inlineStr">
        <is>
          <t>Ean code doos:</t>
        </is>
      </c>
      <c r="E38" s="1904" t="n"/>
      <c r="F38" s="1904" t="n"/>
      <c r="G38" s="1904" t="n"/>
      <c r="I38" s="2040" t="inlineStr">
        <is>
          <t>HS vol.</t>
        </is>
      </c>
      <c r="J38" s="1983" t="n"/>
      <c r="K38" s="1131" t="n"/>
      <c r="L38" s="2033" t="n"/>
      <c r="M38" s="2034" t="n"/>
      <c r="N38" s="2034" t="n"/>
      <c r="O38" s="2034" t="n"/>
      <c r="P38" s="2034" t="n"/>
      <c r="Q38" s="2034" t="n"/>
      <c r="R38" s="2034" t="n"/>
      <c r="T38" s="1343" t="inlineStr">
        <is>
          <t>contents 14</t>
        </is>
      </c>
      <c r="U38" s="2038" t="n"/>
      <c r="V38" s="1343" t="inlineStr">
        <is>
          <t>g</t>
        </is>
      </c>
    </row>
    <row r="39" ht="15" customFormat="1" customHeight="1" s="1099">
      <c r="A39" s="2015" t="inlineStr">
        <is>
          <t>deksel:</t>
        </is>
      </c>
      <c r="B39" s="2015" t="n"/>
      <c r="C39" s="1904" t="n"/>
      <c r="D39" s="2016" t="inlineStr">
        <is>
          <t>Logo doos:</t>
        </is>
      </c>
      <c r="E39" s="2017" t="n"/>
      <c r="F39" s="2017" t="n"/>
      <c r="G39" s="2017" t="n"/>
      <c r="I39" s="2040" t="inlineStr">
        <is>
          <t>Druk</t>
        </is>
      </c>
      <c r="J39" s="1983" t="n"/>
      <c r="K39" s="1131" t="n"/>
      <c r="L39" s="2033" t="n"/>
      <c r="M39" s="2034" t="n"/>
      <c r="N39" s="2034" t="n"/>
      <c r="O39" s="2034" t="n"/>
      <c r="P39" s="2034" t="n"/>
      <c r="Q39" s="2034" t="n"/>
      <c r="R39" s="2034" t="n"/>
      <c r="T39" s="1343" t="inlineStr">
        <is>
          <t>contents 15</t>
        </is>
      </c>
      <c r="U39" s="2038" t="n"/>
      <c r="V39" s="1343" t="inlineStr">
        <is>
          <t>g</t>
        </is>
      </c>
    </row>
    <row r="40" ht="17.25" customFormat="1" customHeight="1" s="1099">
      <c r="A40" s="2010" t="inlineStr">
        <is>
          <t>Fust Afvul 1,</t>
        </is>
      </c>
      <c r="B40" s="2010" t="n"/>
      <c r="C40" s="2010" t="n"/>
      <c r="D40" s="2010" t="n"/>
      <c r="E40" s="2010" t="n"/>
      <c r="F40" s="2010" t="n"/>
      <c r="G40" s="2010" t="n"/>
      <c r="I40" s="2040" t="inlineStr">
        <is>
          <t>Temp(00C)</t>
        </is>
      </c>
      <c r="J40" s="1983" t="n"/>
      <c r="K40" s="1131" t="n"/>
      <c r="L40" s="2033" t="n"/>
      <c r="M40" s="2034" t="n"/>
      <c r="N40" s="2034" t="n"/>
      <c r="O40" s="2034" t="n"/>
      <c r="P40" s="2034" t="n"/>
      <c r="Q40" s="2034" t="n"/>
      <c r="R40" s="2034" t="n"/>
      <c r="T40" s="1343" t="inlineStr">
        <is>
          <t>contents 16</t>
        </is>
      </c>
      <c r="U40" s="2038" t="n"/>
      <c r="V40" s="1343" t="inlineStr">
        <is>
          <t>g</t>
        </is>
      </c>
    </row>
    <row r="41" ht="15" customFormat="1" customHeight="1" s="1099">
      <c r="A41" s="2012" t="inlineStr">
        <is>
          <t>Fustmaat:</t>
        </is>
      </c>
      <c r="B41" s="2012" t="n"/>
      <c r="C41" s="1904" t="n"/>
      <c r="D41" s="2013" t="inlineStr">
        <is>
          <t>Logo:</t>
        </is>
      </c>
      <c r="E41" s="2017" t="n"/>
      <c r="F41" s="2017" t="n"/>
      <c r="G41" s="2017" t="n"/>
      <c r="I41" s="1401" t="inlineStr">
        <is>
          <t>CO2 Fles / Can 2 (200C)</t>
        </is>
      </c>
      <c r="J41" s="1983" t="inlineStr">
        <is>
          <t>[g/l]</t>
        </is>
      </c>
      <c r="K41" s="1127">
        <f>'Recept-voorblad'!$M$13</f>
        <v/>
      </c>
      <c r="L41" s="2033">
        <f>'Recept-voorblad'!$L$13</f>
        <v/>
      </c>
      <c r="M41" s="2034" t="n"/>
      <c r="N41" s="2034" t="n"/>
      <c r="O41" s="2034" t="n"/>
      <c r="P41" s="2034" t="n"/>
      <c r="Q41" s="2034" t="n"/>
      <c r="R41" s="2034" t="n"/>
      <c r="T41" s="1343" t="inlineStr">
        <is>
          <t>contents 17</t>
        </is>
      </c>
      <c r="U41" s="2038" t="n"/>
      <c r="V41" s="1343" t="inlineStr">
        <is>
          <t>g</t>
        </is>
      </c>
    </row>
    <row r="42" ht="15" customFormat="1" customHeight="1" s="1099">
      <c r="A42" s="2012" t="inlineStr">
        <is>
          <t>Ean code:</t>
        </is>
      </c>
      <c r="B42" s="2012" t="n"/>
      <c r="C42" s="1904" t="n"/>
      <c r="D42" s="2016" t="n"/>
      <c r="E42" s="2053" t="n"/>
      <c r="F42" s="2053" t="n"/>
      <c r="G42" s="2053" t="n"/>
      <c r="I42" s="2042" t="inlineStr">
        <is>
          <t>CO2 Fust 2</t>
        </is>
      </c>
      <c r="J42" s="2043" t="inlineStr">
        <is>
          <t>[g/l]</t>
        </is>
      </c>
      <c r="K42" s="1127">
        <f>'Recept-voorblad'!$M$15</f>
        <v/>
      </c>
      <c r="L42" s="2033">
        <f>'Recept-voorblad'!$L$15</f>
        <v/>
      </c>
      <c r="M42" s="2044" t="n"/>
      <c r="N42" s="2044" t="n"/>
      <c r="O42" s="2044" t="n"/>
      <c r="P42" s="2044" t="n"/>
      <c r="Q42" s="2044" t="n"/>
      <c r="R42" s="2044" t="n"/>
      <c r="T42" s="1343" t="inlineStr">
        <is>
          <t>contents 18</t>
        </is>
      </c>
      <c r="U42" s="2038" t="n"/>
      <c r="V42" s="1343" t="inlineStr">
        <is>
          <t>g</t>
        </is>
      </c>
    </row>
    <row r="43" ht="17.25" customFormat="1" customHeight="1" s="1099">
      <c r="A43" s="2010" t="inlineStr">
        <is>
          <t>Fust Afvul 2,</t>
        </is>
      </c>
      <c r="B43" s="2010" t="n"/>
      <c r="C43" s="2010" t="n"/>
      <c r="D43" s="2010" t="n"/>
      <c r="E43" s="2010" t="n"/>
      <c r="F43" s="2010" t="n"/>
      <c r="G43" s="2010" t="n"/>
      <c r="I43" s="2046" t="inlineStr">
        <is>
          <t>Zuurstof Fust 2</t>
        </is>
      </c>
      <c r="J43" s="2047" t="inlineStr">
        <is>
          <t>[ppb]</t>
        </is>
      </c>
      <c r="K43" s="2048">
        <f>'Recept-voorblad'!$M$17</f>
        <v/>
      </c>
      <c r="L43" s="2049">
        <f>'Recept-voorblad'!$L$17</f>
        <v/>
      </c>
      <c r="M43" s="2050" t="n"/>
      <c r="N43" s="2050" t="n"/>
      <c r="O43" s="2050" t="n"/>
      <c r="P43" s="2050" t="n"/>
      <c r="Q43" s="2050" t="n"/>
      <c r="R43" s="2050" t="n"/>
      <c r="T43" s="1343" t="inlineStr">
        <is>
          <t>contents 19</t>
        </is>
      </c>
      <c r="U43" s="2038" t="n"/>
      <c r="V43" s="1343" t="inlineStr">
        <is>
          <t>g</t>
        </is>
      </c>
    </row>
    <row r="44" ht="18.75" customFormat="1" customHeight="1" s="1099">
      <c r="A44" s="2012" t="inlineStr">
        <is>
          <t>Fustmaat:</t>
        </is>
      </c>
      <c r="B44" s="2012" t="n"/>
      <c r="C44" s="1904" t="n"/>
      <c r="D44" s="2013" t="inlineStr">
        <is>
          <t>Logo:</t>
        </is>
      </c>
      <c r="E44" s="2017" t="n"/>
      <c r="F44" s="2017" t="n"/>
      <c r="G44" s="2017" t="n"/>
      <c r="I44" s="1383" t="inlineStr">
        <is>
          <t>time</t>
        </is>
      </c>
      <c r="J44" s="2028" t="n"/>
      <c r="K44" s="2029" t="n"/>
      <c r="L44" s="2030" t="n"/>
      <c r="M44" s="2031" t="n"/>
      <c r="N44" s="2031" t="n"/>
      <c r="O44" s="2031" t="n"/>
      <c r="P44" s="2031" t="n"/>
      <c r="Q44" s="2031" t="n"/>
      <c r="R44" s="2031" t="n"/>
      <c r="T44" s="1343" t="inlineStr">
        <is>
          <t>contents 20</t>
        </is>
      </c>
      <c r="U44" s="2054" t="n"/>
      <c r="V44" s="1343" t="inlineStr">
        <is>
          <t>g</t>
        </is>
      </c>
    </row>
    <row r="45" ht="18.75" customFormat="1" customHeight="1" s="1099">
      <c r="A45" s="2012" t="inlineStr">
        <is>
          <t>Ean code:</t>
        </is>
      </c>
      <c r="B45" s="2012" t="n"/>
      <c r="C45" s="1904" t="n"/>
      <c r="D45" s="2016" t="n"/>
      <c r="E45" s="2053" t="n"/>
      <c r="F45" s="2053" t="n"/>
      <c r="G45" s="2053" t="n"/>
      <c r="I45" s="1401" t="inlineStr">
        <is>
          <t>TPO Fles / Can 3</t>
        </is>
      </c>
      <c r="J45" s="1983" t="inlineStr">
        <is>
          <t>[ppb]</t>
        </is>
      </c>
      <c r="K45" s="1131">
        <f>'Recept-voorblad'!$M$16+'Recept-voorblad'!$M$17</f>
        <v/>
      </c>
      <c r="L45" s="2033" t="inlineStr">
        <is>
          <t>&lt;</t>
        </is>
      </c>
      <c r="M45" s="2034" t="n"/>
      <c r="N45" s="2034" t="n"/>
      <c r="O45" s="2034" t="n"/>
      <c r="P45" s="2034" t="n"/>
      <c r="Q45" s="2034" t="n"/>
      <c r="R45" s="2034" t="n"/>
      <c r="T45" s="1343" t="inlineStr">
        <is>
          <t xml:space="preserve"> </t>
        </is>
      </c>
      <c r="U45" s="1343" t="inlineStr">
        <is>
          <t xml:space="preserve"> </t>
        </is>
      </c>
      <c r="V45" s="1340" t="inlineStr">
        <is>
          <t xml:space="preserve"> </t>
        </is>
      </c>
    </row>
    <row r="46" ht="18.75" customFormat="1" customHeight="1" s="1099">
      <c r="I46" s="1401" t="inlineStr">
        <is>
          <t>HSO Fles / Can 3</t>
        </is>
      </c>
      <c r="J46" s="1983" t="inlineStr">
        <is>
          <t>[ppb]</t>
        </is>
      </c>
      <c r="K46" s="1131">
        <f>'Recept-voorblad'!$M$16</f>
        <v/>
      </c>
      <c r="L46" s="2033">
        <f>'Recept-voorblad'!$L$16</f>
        <v/>
      </c>
      <c r="M46" s="2034" t="n"/>
      <c r="N46" s="2034" t="n"/>
      <c r="O46" s="2034" t="n"/>
      <c r="P46" s="2034" t="n"/>
      <c r="Q46" s="2034" t="n"/>
      <c r="R46" s="2034" t="n"/>
      <c r="T46" s="2055" t="inlineStr">
        <is>
          <t>Average (ml)</t>
        </is>
      </c>
      <c r="U46" s="2056">
        <f>IFERROR((AVERAGE(U25:U44)-U24)/U51,"")</f>
        <v/>
      </c>
      <c r="V46" s="2057">
        <f>VLOOKUP(U23,T52:V56,3,0)</f>
        <v/>
      </c>
    </row>
    <row r="47" ht="18.75" customFormat="1" customHeight="1" s="1099">
      <c r="A47" s="2058" t="inlineStr">
        <is>
          <t>Opmerkingen productie opdracht:</t>
        </is>
      </c>
      <c r="B47" s="1106" t="n"/>
      <c r="C47" s="1106" t="n"/>
      <c r="D47" s="2059" t="n"/>
      <c r="E47" s="2059" t="n"/>
      <c r="F47" s="2059" t="n"/>
      <c r="G47" s="2060" t="n"/>
      <c r="I47" s="1401" t="inlineStr">
        <is>
          <t>DO Fles / Can 3</t>
        </is>
      </c>
      <c r="J47" s="1983" t="inlineStr">
        <is>
          <t>[ppb]</t>
        </is>
      </c>
      <c r="K47" s="1131">
        <f>'Recept-voorblad'!$M$17</f>
        <v/>
      </c>
      <c r="L47" s="2033" t="n"/>
      <c r="M47" s="2034" t="n"/>
      <c r="N47" s="2034" t="n"/>
      <c r="O47" s="2034" t="n"/>
      <c r="P47" s="2034" t="n"/>
      <c r="Q47" s="2034" t="n"/>
      <c r="R47" s="2034" t="n"/>
      <c r="T47" s="2055" t="inlineStr">
        <is>
          <t>T1 (g)</t>
        </is>
      </c>
      <c r="U47" s="2061">
        <f>(VLOOKUP(U23,T52:V56,3,0)-VLOOKUP(U23,T52:U56,2,0))*U51+U24</f>
        <v/>
      </c>
      <c r="V47" s="2062">
        <f>IF(V58,(100*NORMSDIST(((V46-U49)-U46)/V57)),"")</f>
        <v/>
      </c>
    </row>
    <row r="48" ht="18.75" customFormat="1" customHeight="1" s="1099">
      <c r="A48" s="2063">
        <f>IF(Verwerking!N7=5.6," ","LET OP The CO2 concentration can/bottle is " &amp;K31 &amp; " g/l ")</f>
        <v/>
      </c>
      <c r="B48" s="1078" t="n"/>
      <c r="C48" s="1078" t="n"/>
      <c r="D48" s="1078" t="n"/>
      <c r="E48" s="1078" t="n"/>
      <c r="F48" s="1078" t="n"/>
      <c r="G48" s="1087" t="n"/>
      <c r="I48" s="2040" t="inlineStr">
        <is>
          <t>HS vol.</t>
        </is>
      </c>
      <c r="J48" s="1983" t="n"/>
      <c r="K48" s="1131" t="n"/>
      <c r="L48" s="2033" t="n"/>
      <c r="M48" s="2034" t="n"/>
      <c r="N48" s="2034" t="n"/>
      <c r="O48" s="2034" t="n"/>
      <c r="P48" s="2034" t="n"/>
      <c r="Q48" s="2034" t="n"/>
      <c r="R48" s="2034" t="n"/>
      <c r="T48" s="2055" t="inlineStr">
        <is>
          <t>T2</t>
        </is>
      </c>
      <c r="U48" s="2061">
        <f>(VLOOKUP(U23,T52:V56,3,0)-VLOOKUP(U23,T52:U56,2,0)*2)*U51+U24</f>
        <v/>
      </c>
      <c r="V48" s="2057">
        <f>COUNTIF(U25:U44, "&lt;"&amp; U48)</f>
        <v/>
      </c>
    </row>
    <row r="49" ht="18.75" customFormat="1" customHeight="1" s="1099">
      <c r="A49" s="1147" t="n"/>
      <c r="B49" s="1078" t="n"/>
      <c r="C49" s="1078" t="n"/>
      <c r="D49" s="1078" t="n"/>
      <c r="E49" s="1078" t="n"/>
      <c r="F49" s="1078" t="n"/>
      <c r="G49" s="1087" t="n"/>
      <c r="I49" s="2040" t="inlineStr">
        <is>
          <t>Druk</t>
        </is>
      </c>
      <c r="J49" s="1983" t="n"/>
      <c r="K49" s="1131" t="n"/>
      <c r="L49" s="2033" t="n"/>
      <c r="M49" s="2034" t="n"/>
      <c r="N49" s="2034" t="n"/>
      <c r="O49" s="2034" t="n"/>
      <c r="P49" s="2034" t="n"/>
      <c r="Q49" s="2034" t="n"/>
      <c r="R49" s="2034" t="n"/>
      <c r="T49" s="2055" t="inlineStr">
        <is>
          <t>TNE</t>
        </is>
      </c>
      <c r="U49" s="2064">
        <f>VLOOKUP(U23,T52:U56,2,0)</f>
        <v/>
      </c>
      <c r="V49" s="2057" t="n"/>
    </row>
    <row r="50" ht="18.75" customFormat="1" customHeight="1" s="1099">
      <c r="A50" s="1108" t="n"/>
      <c r="B50" s="1093" t="n"/>
      <c r="C50" s="1093" t="n"/>
      <c r="D50" s="1093" t="n"/>
      <c r="E50" s="1093" t="n"/>
      <c r="F50" s="1093" t="n"/>
      <c r="G50" s="1094" t="n"/>
      <c r="I50" s="2040" t="inlineStr">
        <is>
          <t>Temp(00C)</t>
        </is>
      </c>
      <c r="J50" s="1983" t="n"/>
      <c r="K50" s="1131" t="n"/>
      <c r="L50" s="2033" t="n"/>
      <c r="M50" s="2034" t="n"/>
      <c r="N50" s="2034" t="n"/>
      <c r="O50" s="2034" t="n"/>
      <c r="P50" s="2034" t="n"/>
      <c r="Q50" s="2034" t="n"/>
      <c r="R50" s="2034" t="n"/>
      <c r="T50" s="2055" t="n"/>
      <c r="U50" s="2055" t="n"/>
      <c r="V50" s="1340" t="inlineStr">
        <is>
          <t xml:space="preserve"> </t>
        </is>
      </c>
    </row>
    <row r="51" ht="15" customFormat="1" customHeight="1" s="1099">
      <c r="I51" s="1401" t="inlineStr">
        <is>
          <t>CO2 Fles / Can 3 (200C)</t>
        </is>
      </c>
      <c r="J51" s="1983" t="inlineStr">
        <is>
          <t>[g/l]</t>
        </is>
      </c>
      <c r="K51" s="1127">
        <f>'Recept-voorblad'!$M$13</f>
        <v/>
      </c>
      <c r="L51" s="2033">
        <f>'Recept-voorblad'!$L$13</f>
        <v/>
      </c>
      <c r="M51" s="2034" t="n"/>
      <c r="N51" s="2034" t="n"/>
      <c r="O51" s="2034" t="n"/>
      <c r="P51" s="2034" t="n"/>
      <c r="Q51" s="2034" t="n"/>
      <c r="R51" s="2034" t="n"/>
      <c r="S51" s="1340" t="n"/>
      <c r="T51" s="2057" t="inlineStr">
        <is>
          <t>density</t>
        </is>
      </c>
      <c r="U51" s="2057" t="n"/>
      <c r="V51" s="1340" t="inlineStr">
        <is>
          <t xml:space="preserve"> g/ml</t>
        </is>
      </c>
    </row>
    <row r="52" ht="15" customFormat="1" customHeight="1" s="1099">
      <c r="A52" s="2065" t="inlineStr">
        <is>
          <t>OEE</t>
        </is>
      </c>
      <c r="B52" s="2065" t="n"/>
      <c r="C52" s="2066" t="inlineStr">
        <is>
          <t>beschibaarheid</t>
        </is>
      </c>
      <c r="D52" s="2066" t="inlineStr">
        <is>
          <t>prestatie</t>
        </is>
      </c>
      <c r="E52" s="2066" t="inlineStr">
        <is>
          <t>kwaliteit</t>
        </is>
      </c>
      <c r="F52" s="2066" t="inlineStr">
        <is>
          <t>OEE</t>
        </is>
      </c>
      <c r="I52" s="2042" t="inlineStr">
        <is>
          <t>CO2 Fust 3</t>
        </is>
      </c>
      <c r="J52" s="2043" t="inlineStr">
        <is>
          <t>[g/l]</t>
        </is>
      </c>
      <c r="K52" s="1127">
        <f>'Recept-voorblad'!$M$15</f>
        <v/>
      </c>
      <c r="L52" s="2033">
        <f>'Recept-voorblad'!$L$15</f>
        <v/>
      </c>
      <c r="M52" s="2044" t="n"/>
      <c r="N52" s="2044" t="n"/>
      <c r="O52" s="2044" t="n"/>
      <c r="P52" s="2044" t="n"/>
      <c r="Q52" s="2044" t="n"/>
      <c r="R52" s="2044" t="n"/>
      <c r="S52" s="1340" t="n"/>
      <c r="T52" s="2057" t="inlineStr">
        <is>
          <t>can 275ml</t>
        </is>
      </c>
      <c r="U52" s="2057" t="n">
        <v>9</v>
      </c>
      <c r="V52" s="1340" t="n">
        <v>275</v>
      </c>
    </row>
    <row r="53" ht="17.25" customFormat="1" customHeight="1" s="1099">
      <c r="A53" s="1384" t="inlineStr">
        <is>
          <t>fles</t>
        </is>
      </c>
      <c r="B53" s="2067" t="n"/>
      <c r="C53" s="2068" t="n"/>
      <c r="D53" s="2068" t="n"/>
      <c r="E53" s="2068" t="n"/>
      <c r="F53" s="2068" t="n"/>
      <c r="I53" s="2046" t="inlineStr">
        <is>
          <t>Zuurstof Fust 3</t>
        </is>
      </c>
      <c r="J53" s="2047" t="inlineStr">
        <is>
          <t>[ppb]</t>
        </is>
      </c>
      <c r="K53" s="2048">
        <f>'Recept-voorblad'!$M$17</f>
        <v/>
      </c>
      <c r="L53" s="2049">
        <f>'Recept-voorblad'!$L$17</f>
        <v/>
      </c>
      <c r="M53" s="2050" t="n"/>
      <c r="N53" s="2050" t="n"/>
      <c r="O53" s="2050" t="n"/>
      <c r="P53" s="2050" t="n"/>
      <c r="Q53" s="2050" t="n"/>
      <c r="R53" s="2050" t="n"/>
      <c r="S53" s="1340" t="n"/>
      <c r="T53" s="2057" t="inlineStr">
        <is>
          <t>can 330ml</t>
        </is>
      </c>
      <c r="U53" s="2057">
        <f>0.03*330</f>
        <v/>
      </c>
      <c r="V53" s="1340" t="n">
        <v>330</v>
      </c>
    </row>
    <row r="54" ht="15" customFormat="1" customHeight="1" s="1099">
      <c r="A54" s="1402" t="inlineStr">
        <is>
          <t>can</t>
        </is>
      </c>
      <c r="B54" s="2069" t="n"/>
      <c r="C54" s="2070" t="n"/>
      <c r="D54" s="2070" t="n"/>
      <c r="E54" s="2070" t="n"/>
      <c r="F54" s="2070" t="n"/>
      <c r="I54" s="1383" t="inlineStr">
        <is>
          <t>time</t>
        </is>
      </c>
      <c r="J54" s="2028" t="n"/>
      <c r="K54" s="2029" t="n"/>
      <c r="L54" s="2030" t="n"/>
      <c r="M54" s="2031" t="n"/>
      <c r="N54" s="2031" t="n"/>
      <c r="O54" s="2031" t="n"/>
      <c r="P54" s="2031" t="n"/>
      <c r="Q54" s="2031" t="n"/>
      <c r="R54" s="2031" t="n"/>
      <c r="S54" s="1340" t="n"/>
      <c r="T54" s="2057" t="inlineStr">
        <is>
          <t>can 440ml</t>
        </is>
      </c>
      <c r="U54" s="2057">
        <f>0.03*440</f>
        <v/>
      </c>
      <c r="V54" s="1340" t="n">
        <v>440</v>
      </c>
    </row>
    <row r="55" ht="15" customFormat="1" customHeight="1" s="1099">
      <c r="A55" s="1402" t="inlineStr">
        <is>
          <t>vat</t>
        </is>
      </c>
      <c r="B55" s="2069" t="n"/>
      <c r="C55" s="2070" t="n"/>
      <c r="D55" s="2070" t="n"/>
      <c r="E55" s="2070" t="n"/>
      <c r="F55" s="2070" t="n"/>
      <c r="I55" s="1401" t="inlineStr">
        <is>
          <t>TPO Fles / Can 4</t>
        </is>
      </c>
      <c r="J55" s="1983" t="inlineStr">
        <is>
          <t>[ppb]</t>
        </is>
      </c>
      <c r="K55" s="1131">
        <f>'Recept-voorblad'!$M$16+'Recept-voorblad'!$M$17</f>
        <v/>
      </c>
      <c r="L55" s="2033" t="inlineStr">
        <is>
          <t>&lt;</t>
        </is>
      </c>
      <c r="M55" s="2034" t="n"/>
      <c r="N55" s="2034" t="n"/>
      <c r="O55" s="2034" t="n"/>
      <c r="P55" s="2034" t="n"/>
      <c r="Q55" s="2034" t="n"/>
      <c r="R55" s="2034" t="n"/>
      <c r="S55" s="1340" t="n"/>
      <c r="T55" s="2057" t="inlineStr">
        <is>
          <t>bottle 330ml</t>
        </is>
      </c>
      <c r="U55" s="2057">
        <f>0.03*330</f>
        <v/>
      </c>
      <c r="V55" s="1340" t="n">
        <v>330</v>
      </c>
    </row>
    <row r="56" ht="15" customFormat="1" customHeight="1" s="1099">
      <c r="A56" s="2071" t="n"/>
      <c r="B56" s="2072" t="n"/>
      <c r="C56" s="2073" t="n"/>
      <c r="D56" s="2073" t="n"/>
      <c r="E56" s="2073" t="n"/>
      <c r="F56" s="2073" t="n"/>
      <c r="I56" s="1401" t="inlineStr">
        <is>
          <t>HSO Fles / Can 4</t>
        </is>
      </c>
      <c r="J56" s="1983" t="inlineStr">
        <is>
          <t>[ppb]</t>
        </is>
      </c>
      <c r="K56" s="1131">
        <f>'Recept-voorblad'!$M$16</f>
        <v/>
      </c>
      <c r="L56" s="2033">
        <f>'Recept-voorblad'!$L$16</f>
        <v/>
      </c>
      <c r="M56" s="2034" t="n"/>
      <c r="N56" s="2034" t="n"/>
      <c r="O56" s="2034" t="n"/>
      <c r="P56" s="2034" t="n"/>
      <c r="Q56" s="2034" t="n"/>
      <c r="R56" s="2034" t="n"/>
      <c r="S56" s="1340" t="n"/>
      <c r="T56" s="2057" t="inlineStr">
        <is>
          <t>bottle 750ml</t>
        </is>
      </c>
      <c r="U56" s="2057">
        <f>15</f>
        <v/>
      </c>
      <c r="V56" s="1340" t="n">
        <v>750</v>
      </c>
    </row>
    <row r="57" ht="15" customFormat="1" customHeight="1" s="1099">
      <c r="I57" s="1401" t="inlineStr">
        <is>
          <t>DO Fles / Can 4</t>
        </is>
      </c>
      <c r="J57" s="1983" t="inlineStr">
        <is>
          <t>[ppb]</t>
        </is>
      </c>
      <c r="K57" s="1131">
        <f>'Recept-voorblad'!$M$17</f>
        <v/>
      </c>
      <c r="L57" s="2033" t="n"/>
      <c r="M57" s="2034" t="n"/>
      <c r="N57" s="2034" t="n"/>
      <c r="O57" s="2034" t="n"/>
      <c r="P57" s="2034" t="n"/>
      <c r="Q57" s="2034" t="n"/>
      <c r="R57" s="2034" t="n"/>
      <c r="S57" s="1340" t="n"/>
      <c r="T57" s="2057" t="n"/>
      <c r="U57" s="2057">
        <f>COUNTIF(V47, "&gt;=0,025")+COUNTIF(V48, "&gt;=0,099")</f>
        <v/>
      </c>
      <c r="V57" s="1340">
        <f>STDEV(U25:U44)</f>
        <v/>
      </c>
    </row>
    <row r="58" ht="15" customFormat="1" customHeight="1" s="1099">
      <c r="A58" s="2065" t="inlineStr">
        <is>
          <t>Verbruiken</t>
        </is>
      </c>
      <c r="B58" s="2065" t="n"/>
      <c r="C58" s="2066" t="inlineStr">
        <is>
          <t>leeg goed</t>
        </is>
      </c>
      <c r="D58" s="2066" t="inlineStr">
        <is>
          <t>underfills</t>
        </is>
      </c>
      <c r="E58" s="2066" t="inlineStr">
        <is>
          <t>ongelabelled</t>
        </is>
      </c>
      <c r="F58" s="2066" t="inlineStr">
        <is>
          <t>verlies</t>
        </is>
      </c>
      <c r="I58" s="2040" t="inlineStr">
        <is>
          <t>HS vol.</t>
        </is>
      </c>
      <c r="J58" s="1983" t="n"/>
      <c r="K58" s="1131" t="n"/>
      <c r="L58" s="2033" t="n"/>
      <c r="M58" s="2034" t="n"/>
      <c r="N58" s="2034" t="n"/>
      <c r="O58" s="2034" t="n"/>
      <c r="P58" s="2034" t="n"/>
      <c r="Q58" s="2034" t="n"/>
      <c r="R58" s="2034" t="n"/>
      <c r="S58" s="1340" t="n"/>
      <c r="T58" s="1340" t="inlineStr">
        <is>
          <t xml:space="preserve"> </t>
        </is>
      </c>
      <c r="U58" s="1340" t="inlineStr">
        <is>
          <t xml:space="preserve"> </t>
        </is>
      </c>
      <c r="V58" s="1340">
        <f>((V46-U49)/(4*V57))</f>
        <v/>
      </c>
    </row>
    <row r="59" ht="15" customFormat="1" customHeight="1" s="1099">
      <c r="A59" s="1384" t="inlineStr">
        <is>
          <t>fles</t>
        </is>
      </c>
      <c r="B59" s="2067" t="n"/>
      <c r="C59" s="2074">
        <f>Afvulverslag!M48</f>
        <v/>
      </c>
      <c r="D59" s="2068" t="n"/>
      <c r="E59" s="2068" t="n"/>
      <c r="F59" s="2075">
        <f>Afvulverslag!R9</f>
        <v/>
      </c>
      <c r="I59" s="2040" t="inlineStr">
        <is>
          <t>Druk</t>
        </is>
      </c>
      <c r="J59" s="1983" t="n"/>
      <c r="K59" s="1131" t="n"/>
      <c r="L59" s="2033" t="n"/>
      <c r="M59" s="2034" t="n"/>
      <c r="N59" s="2034" t="n"/>
      <c r="O59" s="2034" t="n"/>
      <c r="P59" s="2034" t="n"/>
      <c r="Q59" s="2034" t="n"/>
      <c r="R59" s="2034" t="n"/>
      <c r="S59" s="1340" t="n"/>
      <c r="T59" s="1340" t="inlineStr">
        <is>
          <t xml:space="preserve"> </t>
        </is>
      </c>
      <c r="U59" s="1340" t="inlineStr">
        <is>
          <t xml:space="preserve"> </t>
        </is>
      </c>
      <c r="V59" s="1340" t="inlineStr">
        <is>
          <t xml:space="preserve"> </t>
        </is>
      </c>
    </row>
    <row r="60" ht="17.25" customFormat="1" customHeight="1" s="1099">
      <c r="A60" s="1402" t="inlineStr">
        <is>
          <t>can</t>
        </is>
      </c>
      <c r="B60" s="2069" t="n"/>
      <c r="C60" s="2076">
        <f>Afvulverslag!M76</f>
        <v/>
      </c>
      <c r="D60" s="2070" t="n"/>
      <c r="E60" s="2077">
        <f>IFERROR(Afvulverslag!M81/Afvulverslag!K81,"")</f>
        <v/>
      </c>
      <c r="F60" s="2070" t="n"/>
      <c r="I60" s="2040" t="inlineStr">
        <is>
          <t>Temp(00C)</t>
        </is>
      </c>
      <c r="J60" s="1983" t="n"/>
      <c r="K60" s="1131" t="n"/>
      <c r="L60" s="2033" t="n"/>
      <c r="M60" s="2034" t="n"/>
      <c r="N60" s="2034" t="n"/>
      <c r="O60" s="2034" t="n"/>
      <c r="P60" s="2034" t="n"/>
      <c r="Q60" s="2034" t="n"/>
      <c r="R60" s="2034" t="n"/>
      <c r="T60" s="1340" t="inlineStr">
        <is>
          <t xml:space="preserve"> </t>
        </is>
      </c>
      <c r="U60" s="1340" t="inlineStr">
        <is>
          <t xml:space="preserve"> </t>
        </is>
      </c>
      <c r="V60" s="1340" t="inlineStr">
        <is>
          <t xml:space="preserve"> </t>
        </is>
      </c>
    </row>
    <row r="61" ht="15" customFormat="1" customHeight="1" s="1099">
      <c r="A61" s="1402" t="inlineStr">
        <is>
          <t>vat</t>
        </is>
      </c>
      <c r="B61" s="2069" t="n"/>
      <c r="C61" s="2078">
        <f>SUM(Afvulverslag!M85:M87)</f>
        <v/>
      </c>
      <c r="D61" s="2070" t="n"/>
      <c r="E61" s="2070" t="n"/>
      <c r="F61" s="2070" t="n"/>
      <c r="I61" s="1401" t="inlineStr">
        <is>
          <t>CO2 Fles / Can 4 (200C)</t>
        </is>
      </c>
      <c r="J61" s="1983" t="inlineStr">
        <is>
          <t>[g/l]</t>
        </is>
      </c>
      <c r="K61" s="1127">
        <f>'Recept-voorblad'!$M$13</f>
        <v/>
      </c>
      <c r="L61" s="2033">
        <f>'Recept-voorblad'!$L$13</f>
        <v/>
      </c>
      <c r="M61" s="2034" t="n"/>
      <c r="N61" s="2034" t="n"/>
      <c r="O61" s="2034" t="n"/>
      <c r="P61" s="2034" t="n"/>
      <c r="Q61" s="2034" t="n"/>
      <c r="R61" s="2034" t="n"/>
      <c r="T61" s="1343" t="n"/>
      <c r="U61" s="1343" t="n"/>
      <c r="V61" s="1343" t="n"/>
    </row>
    <row r="62" ht="15" customFormat="1" customHeight="1" s="1099">
      <c r="A62" s="2071" t="n"/>
      <c r="B62" s="2072" t="n"/>
      <c r="C62" s="2073" t="n"/>
      <c r="D62" s="2073" t="n"/>
      <c r="E62" s="2073" t="n"/>
      <c r="F62" s="2073" t="n"/>
      <c r="I62" s="2042" t="inlineStr">
        <is>
          <t>CO2 Fust 4</t>
        </is>
      </c>
      <c r="J62" s="2043" t="inlineStr">
        <is>
          <t>[g/l]</t>
        </is>
      </c>
      <c r="K62" s="1127">
        <f>'Recept-voorblad'!$M$15</f>
        <v/>
      </c>
      <c r="L62" s="2033">
        <f>'Recept-voorblad'!$L$15</f>
        <v/>
      </c>
      <c r="M62" s="2044" t="n"/>
      <c r="N62" s="2044" t="n"/>
      <c r="O62" s="2044" t="n"/>
      <c r="P62" s="2044" t="n"/>
      <c r="Q62" s="2044" t="n"/>
      <c r="R62" s="2044" t="n"/>
    </row>
    <row r="63" ht="17.25" customFormat="1" customHeight="1" s="1099">
      <c r="I63" s="2046" t="inlineStr">
        <is>
          <t>Zuurstof Fust 4</t>
        </is>
      </c>
      <c r="J63" s="2047" t="inlineStr">
        <is>
          <t>[ppb]</t>
        </is>
      </c>
      <c r="K63" s="2048">
        <f>'Recept-voorblad'!$M$17</f>
        <v/>
      </c>
      <c r="L63" s="2049">
        <f>'Recept-voorblad'!$L$17</f>
        <v/>
      </c>
      <c r="M63" s="2050" t="n"/>
      <c r="N63" s="2050" t="n"/>
      <c r="O63" s="2050" t="n"/>
      <c r="P63" s="2050" t="n"/>
      <c r="Q63" s="2050" t="n"/>
      <c r="R63" s="2050" t="n"/>
    </row>
    <row r="64" ht="15" customFormat="1" customHeight="1" s="1099">
      <c r="A64" s="2065" t="inlineStr">
        <is>
          <t>Quality</t>
        </is>
      </c>
      <c r="B64" s="2065" t="n"/>
      <c r="C64" s="2066" t="inlineStr">
        <is>
          <t>%Estimate of control</t>
        </is>
      </c>
      <c r="D64" s="2079" t="inlineStr">
        <is>
          <t>average</t>
        </is>
      </c>
      <c r="E64" s="2080" t="inlineStr">
        <is>
          <t>cp</t>
        </is>
      </c>
      <c r="F64" s="2080" t="inlineStr">
        <is>
          <t>std</t>
        </is>
      </c>
      <c r="G64" s="1340" t="n"/>
      <c r="I64" s="1383" t="inlineStr">
        <is>
          <t>time</t>
        </is>
      </c>
      <c r="J64" s="2028" t="n"/>
      <c r="K64" s="2029" t="n"/>
      <c r="L64" s="2030" t="n"/>
      <c r="M64" s="2031" t="n"/>
      <c r="N64" s="2031" t="n"/>
      <c r="O64" s="2031" t="n"/>
      <c r="P64" s="2031" t="n"/>
      <c r="Q64" s="2031" t="n"/>
      <c r="R64" s="2031" t="n"/>
    </row>
    <row r="65" ht="15" customFormat="1" customHeight="1" s="1099">
      <c r="A65" s="1384" t="inlineStr">
        <is>
          <t>CO2 fles/can</t>
        </is>
      </c>
      <c r="B65" s="2067" t="n"/>
      <c r="C65" s="2081">
        <f>IF(E65,(100-((100-(100*NORMSDIST(((K31+L31)-D65)/F65)))+(100-(100*NORMSDIST((D65-(K31-L31))/F65)))))/100,"")</f>
        <v/>
      </c>
      <c r="D65" s="2082">
        <f>AVERAGE(M31:R31,M41:R41,M51:R51,M61:R61,M71:R71,M81:R81,M91:R91)</f>
        <v/>
      </c>
      <c r="E65" s="2083">
        <f>((K31+L31)-(K31-L31))/(4*F65)</f>
        <v/>
      </c>
      <c r="F65" s="1341">
        <f>IF(COUNT(M31:R31,M41:R41,M51:R51,M61:R61,M71:R71,M81:R81,M91:R91)&gt;1,STDEV(M31:R31,M41:R41,M51:R51,M61:R61,M71:R71,M81:R81,M91:R91),0.01)</f>
        <v/>
      </c>
      <c r="G65" s="1340" t="n"/>
      <c r="I65" s="1401" t="inlineStr">
        <is>
          <t>TPO Fles / Can 5</t>
        </is>
      </c>
      <c r="J65" s="1983" t="inlineStr">
        <is>
          <t>[ppb]</t>
        </is>
      </c>
      <c r="K65" s="1131">
        <f>'Recept-voorblad'!$M$16+'Recept-voorblad'!$M$17</f>
        <v/>
      </c>
      <c r="L65" s="2033" t="inlineStr">
        <is>
          <t>&lt;</t>
        </is>
      </c>
      <c r="M65" s="2084" t="n"/>
      <c r="N65" s="2084" t="n"/>
      <c r="O65" s="2084" t="n"/>
      <c r="P65" s="2084" t="n"/>
      <c r="Q65" s="2084" t="n"/>
      <c r="R65" s="2084" t="n"/>
    </row>
    <row r="66" ht="15" customFormat="1" customHeight="1" s="1099">
      <c r="A66" s="1402" t="inlineStr">
        <is>
          <t>HSO fles/can</t>
        </is>
      </c>
      <c r="B66" s="2069" t="n"/>
      <c r="C66" s="2085">
        <f>IF(E66,(100-((100-(100*NORMSDIST((K26-D66)/F66)))))/100,"")</f>
        <v/>
      </c>
      <c r="D66" s="2086">
        <f>AVERAGE(M26:R26,M36:R36,M46:R46,M56:R56,M66:R66,M76:R76,M86:R86)</f>
        <v/>
      </c>
      <c r="E66" s="2087">
        <f>((K26)/(4*F66))</f>
        <v/>
      </c>
      <c r="F66" s="1340">
        <f>IF(COUNT(M26:R26,M36:R36,M46:R46,M56:R56,M66:R66,M76:R76,M86:R86)&gt;1,STDEV(M26:R26,M36:R36,M46:R46,M56:R56,M66:R66,M76:R76,M86:R86),0.01)</f>
        <v/>
      </c>
      <c r="G66" s="1340" t="n"/>
      <c r="I66" s="1401" t="inlineStr">
        <is>
          <t>HSO Fles / Can 5</t>
        </is>
      </c>
      <c r="J66" s="1983" t="inlineStr">
        <is>
          <t>[ppb]</t>
        </is>
      </c>
      <c r="K66" s="1131">
        <f>'Recept-voorblad'!$M$16</f>
        <v/>
      </c>
      <c r="L66" s="2033">
        <f>'Recept-voorblad'!$L$16</f>
        <v/>
      </c>
      <c r="M66" s="2084" t="n"/>
      <c r="N66" s="2084" t="n"/>
      <c r="O66" s="2084" t="n"/>
      <c r="P66" s="2084" t="n"/>
      <c r="Q66" s="2084" t="n"/>
      <c r="R66" s="2084" t="n"/>
    </row>
    <row r="67" ht="15" customFormat="1" customHeight="1" s="1099">
      <c r="A67" s="1402" t="inlineStr">
        <is>
          <t>DO fles/can</t>
        </is>
      </c>
      <c r="B67" s="2069" t="n"/>
      <c r="C67" s="2085">
        <f>IF(E67,(100-((100-(100*NORMSDIST((K27-D67)/F67)))))/100,"")</f>
        <v/>
      </c>
      <c r="D67" s="2086">
        <f>AVERAGE(M27:R27,M37:R37,M47:R47,M57:R57,M67:R67,M77:R77,M87:R87)</f>
        <v/>
      </c>
      <c r="E67" s="2087">
        <f>((K27)/(4*F67))</f>
        <v/>
      </c>
      <c r="F67" s="1340">
        <f>IF(COUNT(M27:R27,M37:R37,M47:R47,M57:R57,M67:R67,M77:R77,M87:R87)&gt;1,STDEV(M27:R27,M37:R37,M47:R47,M57:R57,M67:R67,M77:R77,M87:R87),0.01)</f>
        <v/>
      </c>
      <c r="G67" s="1340" t="n"/>
      <c r="I67" s="1401" t="inlineStr">
        <is>
          <t>DO Fles / Can 5</t>
        </is>
      </c>
      <c r="J67" s="1983" t="inlineStr">
        <is>
          <t>[ppb]</t>
        </is>
      </c>
      <c r="K67" s="1131">
        <f>'Recept-voorblad'!$M$17</f>
        <v/>
      </c>
      <c r="L67" s="2033" t="n"/>
      <c r="M67" s="2084" t="n"/>
      <c r="N67" s="2084" t="n"/>
      <c r="O67" s="2084" t="n"/>
      <c r="P67" s="2084" t="n"/>
      <c r="Q67" s="2084" t="n"/>
      <c r="R67" s="2084" t="n"/>
    </row>
    <row r="68" ht="15" customFormat="1" customHeight="1" s="1099">
      <c r="A68" s="1402" t="inlineStr">
        <is>
          <t>TPO fles/can</t>
        </is>
      </c>
      <c r="B68" s="2069" t="n"/>
      <c r="C68" s="2085">
        <f>IF(E68,(100-((100-(100*NORMSDIST((K25-D68)/F68)))))/100,"")</f>
        <v/>
      </c>
      <c r="D68" s="2086">
        <f>AVERAGE(M25:R25,M35:R35,M45:R45,M55:R55,M65:R65,M75:R75,M85:R85)</f>
        <v/>
      </c>
      <c r="E68" s="2087">
        <f>((K25)/(4*F68))</f>
        <v/>
      </c>
      <c r="F68" s="1340">
        <f>IF(COUNT(M25:R25,M35:R35,M45:R45,M55:R55,M65:R65,M75:R75,M85:R85)&gt;1,STDEV(M25:R25,M35:R35,M45:R45,M55:R55,M65:R65,M75:R75,M85:R85),0.01)</f>
        <v/>
      </c>
      <c r="G68" s="1340" t="n"/>
      <c r="I68" s="2040" t="inlineStr">
        <is>
          <t>HS vol.</t>
        </is>
      </c>
      <c r="J68" s="1983" t="n"/>
      <c r="K68" s="1131" t="n"/>
      <c r="L68" s="2033" t="n"/>
      <c r="M68" s="2084" t="n"/>
      <c r="N68" s="2084" t="n"/>
      <c r="O68" s="2084" t="n"/>
      <c r="P68" s="2084" t="n"/>
      <c r="Q68" s="2084" t="n"/>
      <c r="R68" s="2084" t="n"/>
    </row>
    <row r="69" ht="15" customFormat="1" customHeight="1" s="1099">
      <c r="A69" s="2088" t="inlineStr">
        <is>
          <t>CO2 fust</t>
        </is>
      </c>
      <c r="B69" s="2089" t="n"/>
      <c r="C69" s="2090">
        <f>IF(E69,(100-((100-(100*NORMSDIST(((K32+L32)-D69)/F69)))+(100-(100*NORMSDIST((D69-(K32-L32))/F69)))))/100,FALSE())</f>
        <v/>
      </c>
      <c r="D69" s="2086">
        <f>AVERAGE(M32:R32,M42:R42,M52:R52,M62:R62,M72:R72,M82:R82,M92:R92)</f>
        <v/>
      </c>
      <c r="E69" s="2087">
        <f>((K32+L32)-(K32-L32))/(4*F69)</f>
        <v/>
      </c>
      <c r="F69" s="1340">
        <f>IF(COUNT(M32:R32,M42:R42,M52:R52,M62:R62,M71:R71,M81:R81,M91:R91)&gt;1,STDEV(M32:R32,M42:R42,M52:R52,M62:R62,M71:R71,M81:R81,M91:R91),0.01)</f>
        <v/>
      </c>
      <c r="G69" s="1340" t="n"/>
      <c r="I69" s="2040" t="inlineStr">
        <is>
          <t>Druk</t>
        </is>
      </c>
      <c r="J69" s="1983" t="n"/>
      <c r="K69" s="1131" t="n"/>
      <c r="L69" s="2033" t="n"/>
      <c r="M69" s="2084" t="n"/>
      <c r="N69" s="2084" t="n"/>
      <c r="O69" s="2084" t="n"/>
      <c r="P69" s="2084" t="n"/>
      <c r="Q69" s="2084" t="n"/>
      <c r="R69" s="2084" t="n"/>
    </row>
    <row r="70" ht="17.25" customFormat="1" customHeight="1" s="1099">
      <c r="A70" s="2088" t="inlineStr">
        <is>
          <t>DO fust</t>
        </is>
      </c>
      <c r="B70" s="2089" t="n"/>
      <c r="C70" s="2091">
        <f>IF(E70,(100-((100-(100*NORMSDIST((K33-D70)/F70)))))/100,"")</f>
        <v/>
      </c>
      <c r="D70" s="2086">
        <f>AVERAGE(M33:R33,M43:R43,M53:R53,M63:R63,M73:R73,M83:R83,M93:R93)</f>
        <v/>
      </c>
      <c r="E70" s="2087">
        <f>((K33)/(4*F70))</f>
        <v/>
      </c>
      <c r="F70" s="1340">
        <f>IF(COUNT(M33:R33,M43:R43,M53:R53,M63:R63,M72:R72,M82:R82,M92:R92)&gt;1,STDEV(M33:R33,M43:R43,M53:R53,M63:R63,M72:R72,M82:R82,M92:R92),0.01)</f>
        <v/>
      </c>
      <c r="G70" s="1340" t="n"/>
      <c r="I70" s="2040" t="inlineStr">
        <is>
          <t>Temp(00C)</t>
        </is>
      </c>
      <c r="J70" s="1983" t="n"/>
      <c r="K70" s="1131" t="n"/>
      <c r="L70" s="2033" t="n"/>
      <c r="M70" s="2084" t="n"/>
      <c r="N70" s="2084" t="n"/>
      <c r="O70" s="2084" t="n"/>
      <c r="P70" s="2084" t="n"/>
      <c r="Q70" s="2084" t="n"/>
      <c r="R70" s="2084" t="n"/>
    </row>
    <row r="71" ht="15" customFormat="1" customHeight="1" s="1099">
      <c r="I71" s="1401" t="inlineStr">
        <is>
          <t>CO2 Fles / Can 5 (200C)</t>
        </is>
      </c>
      <c r="J71" s="1983" t="inlineStr">
        <is>
          <t>[g/l]</t>
        </is>
      </c>
      <c r="K71" s="1127">
        <f>'Recept-voorblad'!$M$13</f>
        <v/>
      </c>
      <c r="L71" s="2033">
        <f>'Recept-voorblad'!$L$13</f>
        <v/>
      </c>
      <c r="M71" s="2084" t="n"/>
      <c r="N71" s="2084" t="n"/>
      <c r="O71" s="2084" t="n"/>
      <c r="P71" s="2084" t="n"/>
      <c r="Q71" s="2084" t="n"/>
      <c r="R71" s="2084" t="n"/>
    </row>
    <row r="72" ht="15" customFormat="1" customHeight="1" s="1099">
      <c r="I72" s="2042" t="inlineStr">
        <is>
          <t>CO2 Fust 5</t>
        </is>
      </c>
      <c r="J72" s="2043" t="inlineStr">
        <is>
          <t>[g/l]</t>
        </is>
      </c>
      <c r="K72" s="1127">
        <f>'Recept-voorblad'!$M$15</f>
        <v/>
      </c>
      <c r="L72" s="2033">
        <f>'Recept-voorblad'!$L$15</f>
        <v/>
      </c>
      <c r="M72" s="2044" t="n"/>
      <c r="N72" s="2044" t="n"/>
      <c r="O72" s="2044" t="n"/>
      <c r="P72" s="2044" t="n"/>
      <c r="Q72" s="2044" t="n"/>
      <c r="R72" s="2044" t="n"/>
    </row>
    <row r="73" ht="15" customFormat="1" customHeight="1" s="1099">
      <c r="I73" s="2042" t="inlineStr">
        <is>
          <t>Zuurstof Fust 5</t>
        </is>
      </c>
      <c r="J73" s="2047" t="inlineStr">
        <is>
          <t>[ppb]</t>
        </is>
      </c>
      <c r="K73" s="2048">
        <f>'Recept-voorblad'!$M$17</f>
        <v/>
      </c>
      <c r="L73" s="2049">
        <f>'Recept-voorblad'!$L$17</f>
        <v/>
      </c>
      <c r="M73" s="2050" t="n"/>
      <c r="N73" s="2050" t="n"/>
      <c r="O73" s="2050" t="n"/>
      <c r="P73" s="2050" t="n"/>
      <c r="Q73" s="2050" t="n"/>
      <c r="R73" s="2050" t="n"/>
    </row>
    <row r="74" ht="15" customFormat="1" customHeight="1" s="1099">
      <c r="I74" s="1383" t="inlineStr">
        <is>
          <t>time</t>
        </is>
      </c>
      <c r="J74" s="2028" t="n"/>
      <c r="K74" s="2029" t="n"/>
      <c r="L74" s="2030" t="n"/>
      <c r="M74" s="2031" t="n"/>
      <c r="N74" s="2031" t="n"/>
      <c r="O74" s="2031" t="n"/>
      <c r="P74" s="2031" t="n"/>
      <c r="Q74" s="2031" t="n"/>
      <c r="R74" s="2031" t="n"/>
    </row>
    <row r="75" ht="15" customFormat="1" customHeight="1" s="1099">
      <c r="I75" s="1401" t="inlineStr">
        <is>
          <t>TPO Fles / Can 6</t>
        </is>
      </c>
      <c r="J75" s="1983" t="inlineStr">
        <is>
          <t>[ppb]</t>
        </is>
      </c>
      <c r="K75" s="1131">
        <f>'Recept-voorblad'!$M$16+'Recept-voorblad'!$M$17</f>
        <v/>
      </c>
      <c r="L75" s="2033" t="inlineStr">
        <is>
          <t>&lt;</t>
        </is>
      </c>
      <c r="M75" s="2084" t="n"/>
      <c r="N75" s="2084" t="n"/>
      <c r="O75" s="2084" t="n"/>
      <c r="P75" s="2084" t="n"/>
      <c r="Q75" s="2084" t="n"/>
      <c r="R75" s="2084" t="n"/>
    </row>
    <row r="76" ht="15" customFormat="1" customHeight="1" s="1099">
      <c r="I76" s="1401" t="inlineStr">
        <is>
          <t>HSO Fles / Can 6</t>
        </is>
      </c>
      <c r="J76" s="1983" t="inlineStr">
        <is>
          <t>[ppb]</t>
        </is>
      </c>
      <c r="K76" s="1131">
        <f>'Recept-voorblad'!$M$16</f>
        <v/>
      </c>
      <c r="L76" s="2033">
        <f>'Recept-voorblad'!$L$16</f>
        <v/>
      </c>
      <c r="M76" s="2084" t="n"/>
      <c r="N76" s="2084" t="n"/>
      <c r="O76" s="2084" t="n"/>
      <c r="P76" s="2084" t="n"/>
      <c r="Q76" s="2084" t="n"/>
      <c r="R76" s="2084" t="n"/>
    </row>
    <row r="77" ht="15" customFormat="1" customHeight="1" s="1099">
      <c r="I77" s="1401" t="inlineStr">
        <is>
          <t>DO Fles / Can 6</t>
        </is>
      </c>
      <c r="J77" s="1983" t="inlineStr">
        <is>
          <t>[ppb]</t>
        </is>
      </c>
      <c r="K77" s="1131">
        <f>'Recept-voorblad'!$M$17</f>
        <v/>
      </c>
      <c r="L77" s="2033" t="n"/>
      <c r="M77" s="2084" t="n"/>
      <c r="N77" s="2084" t="n"/>
      <c r="O77" s="2084" t="n"/>
      <c r="P77" s="2084" t="n"/>
      <c r="Q77" s="2084" t="n"/>
      <c r="R77" s="2084" t="n"/>
    </row>
    <row r="78" ht="15" customFormat="1" customHeight="1" s="1099">
      <c r="I78" s="2040" t="inlineStr">
        <is>
          <t>HS vol.</t>
        </is>
      </c>
      <c r="J78" s="1983" t="n"/>
      <c r="K78" s="1131" t="n"/>
      <c r="L78" s="2033" t="n"/>
      <c r="M78" s="2084" t="n"/>
      <c r="N78" s="2084" t="n"/>
      <c r="O78" s="2084" t="n"/>
      <c r="P78" s="2084" t="n"/>
      <c r="Q78" s="2084" t="n"/>
      <c r="R78" s="2084" t="n"/>
    </row>
    <row r="79" ht="15" customFormat="1" customHeight="1" s="1099">
      <c r="I79" s="2040" t="inlineStr">
        <is>
          <t>Druk</t>
        </is>
      </c>
      <c r="J79" s="1983" t="n"/>
      <c r="K79" s="1131" t="n"/>
      <c r="L79" s="2033" t="n"/>
      <c r="M79" s="2084" t="n"/>
      <c r="N79" s="2084" t="n"/>
      <c r="O79" s="2084" t="n"/>
      <c r="P79" s="2084" t="n"/>
      <c r="Q79" s="2084" t="n"/>
      <c r="R79" s="2084" t="n"/>
    </row>
    <row r="80" ht="17.25" customFormat="1" customHeight="1" s="1099">
      <c r="I80" s="2040" t="inlineStr">
        <is>
          <t>Temp(00C)</t>
        </is>
      </c>
      <c r="J80" s="1983" t="n"/>
      <c r="K80" s="1131" t="n"/>
      <c r="L80" s="2033" t="n"/>
      <c r="M80" s="2084" t="n"/>
      <c r="N80" s="2084" t="n"/>
      <c r="O80" s="2084" t="n"/>
      <c r="P80" s="2084" t="n"/>
      <c r="Q80" s="2084" t="n"/>
      <c r="R80" s="2084" t="n"/>
    </row>
    <row r="81" ht="15" customFormat="1" customHeight="1" s="1099">
      <c r="I81" s="1401" t="inlineStr">
        <is>
          <t>CO2 Fles / Can 6 (200C)</t>
        </is>
      </c>
      <c r="J81" s="1983" t="inlineStr">
        <is>
          <t>[g/l]</t>
        </is>
      </c>
      <c r="K81" s="1127">
        <f>'Recept-voorblad'!$M$13</f>
        <v/>
      </c>
      <c r="L81" s="2033">
        <f>'Recept-voorblad'!$L$13</f>
        <v/>
      </c>
      <c r="M81" s="2084" t="n"/>
      <c r="N81" s="2084" t="n"/>
      <c r="O81" s="2084" t="n"/>
      <c r="P81" s="2084" t="n"/>
      <c r="Q81" s="2084" t="n"/>
      <c r="R81" s="2084" t="n"/>
    </row>
    <row r="82" ht="15" customFormat="1" customHeight="1" s="1099">
      <c r="I82" s="2042" t="inlineStr">
        <is>
          <t>CO2 Fust 6</t>
        </is>
      </c>
      <c r="J82" s="2043" t="inlineStr">
        <is>
          <t>[g/l]</t>
        </is>
      </c>
      <c r="K82" s="1127">
        <f>'Recept-voorblad'!$M$15</f>
        <v/>
      </c>
      <c r="L82" s="2033">
        <f>'Recept-voorblad'!$L$15</f>
        <v/>
      </c>
      <c r="M82" s="2044" t="n"/>
      <c r="N82" s="2044" t="n"/>
      <c r="O82" s="2044" t="n"/>
      <c r="P82" s="2044" t="n"/>
      <c r="Q82" s="2044" t="n"/>
      <c r="R82" s="2044" t="n"/>
    </row>
    <row r="83" ht="15" customFormat="1" customHeight="1" s="1099">
      <c r="I83" s="2046" t="inlineStr">
        <is>
          <t>Zuurstof Fust 6</t>
        </is>
      </c>
      <c r="J83" s="2047" t="inlineStr">
        <is>
          <t>[ppb]</t>
        </is>
      </c>
      <c r="K83" s="2048">
        <f>'Recept-voorblad'!$M$17</f>
        <v/>
      </c>
      <c r="L83" s="2049">
        <f>'Recept-voorblad'!$L$17</f>
        <v/>
      </c>
      <c r="M83" s="2050" t="n"/>
      <c r="N83" s="2050" t="n"/>
      <c r="O83" s="2050" t="n"/>
      <c r="P83" s="2050" t="n"/>
      <c r="Q83" s="2050" t="n"/>
      <c r="R83" s="2050" t="n"/>
    </row>
    <row r="84" ht="15" customFormat="1" customHeight="1" s="1099">
      <c r="I84" s="1401" t="inlineStr">
        <is>
          <t>time</t>
        </is>
      </c>
      <c r="J84" s="2028" t="n"/>
      <c r="K84" s="2029" t="n"/>
      <c r="L84" s="2030" t="n"/>
      <c r="M84" s="2031" t="n"/>
      <c r="N84" s="2031" t="n"/>
      <c r="O84" s="2031" t="n"/>
      <c r="P84" s="2031" t="n"/>
      <c r="Q84" s="2031" t="n"/>
      <c r="R84" s="2031" t="n"/>
    </row>
    <row r="85" ht="15" customFormat="1" customHeight="1" s="1099">
      <c r="I85" s="1401" t="inlineStr">
        <is>
          <t>TPO Fles / Can 7</t>
        </is>
      </c>
      <c r="J85" s="1983" t="inlineStr">
        <is>
          <t>[ppb]</t>
        </is>
      </c>
      <c r="K85" s="1131">
        <f>'Recept-voorblad'!$M$16+'Recept-voorblad'!$M$17</f>
        <v/>
      </c>
      <c r="L85" s="2033" t="inlineStr">
        <is>
          <t>&lt;</t>
        </is>
      </c>
      <c r="M85" s="2084" t="n"/>
      <c r="N85" s="2084" t="n"/>
      <c r="O85" s="2084" t="n"/>
      <c r="P85" s="2084" t="n"/>
      <c r="Q85" s="2084" t="n"/>
      <c r="R85" s="2084" t="n"/>
    </row>
    <row r="86" ht="15" customFormat="1" customHeight="1" s="1099">
      <c r="I86" s="1401" t="inlineStr">
        <is>
          <t>HSO Fles / Can 7</t>
        </is>
      </c>
      <c r="J86" s="1983" t="inlineStr">
        <is>
          <t>[ppb]</t>
        </is>
      </c>
      <c r="K86" s="1131">
        <f>'Recept-voorblad'!$M$16</f>
        <v/>
      </c>
      <c r="L86" s="2033">
        <f>'Recept-voorblad'!$L$16</f>
        <v/>
      </c>
      <c r="M86" s="2084" t="n"/>
      <c r="N86" s="2084" t="n"/>
      <c r="O86" s="2084" t="n"/>
      <c r="P86" s="2084" t="n"/>
      <c r="Q86" s="2084" t="n"/>
      <c r="R86" s="2084" t="n"/>
    </row>
    <row r="87" ht="15" customFormat="1" customHeight="1" s="1099">
      <c r="I87" s="1401" t="inlineStr">
        <is>
          <t>DO Fles / Can 7</t>
        </is>
      </c>
      <c r="J87" s="1983" t="inlineStr">
        <is>
          <t>[ppb]</t>
        </is>
      </c>
      <c r="K87" s="1131">
        <f>'Recept-voorblad'!$M$17</f>
        <v/>
      </c>
      <c r="L87" s="2033" t="n"/>
      <c r="M87" s="2084" t="n"/>
      <c r="N87" s="2084" t="n"/>
      <c r="O87" s="2084" t="n"/>
      <c r="P87" s="2084" t="n"/>
      <c r="Q87" s="2084" t="n"/>
      <c r="R87" s="2084" t="n"/>
    </row>
    <row r="88" ht="15" customFormat="1" customHeight="1" s="1099">
      <c r="I88" s="2040" t="inlineStr">
        <is>
          <t>HS vol.</t>
        </is>
      </c>
      <c r="J88" s="1983" t="n"/>
      <c r="K88" s="1131" t="n"/>
      <c r="L88" s="2033" t="n"/>
      <c r="M88" s="2084" t="n"/>
      <c r="N88" s="2084" t="n"/>
      <c r="O88" s="2084" t="n"/>
      <c r="P88" s="2084" t="n"/>
      <c r="Q88" s="2084" t="n"/>
      <c r="R88" s="2084" t="n"/>
    </row>
    <row r="89" ht="15" customFormat="1" customHeight="1" s="1099">
      <c r="I89" s="2040" t="inlineStr">
        <is>
          <t>Druk</t>
        </is>
      </c>
      <c r="J89" s="1983" t="n"/>
      <c r="K89" s="1131" t="n"/>
      <c r="L89" s="2033" t="n"/>
      <c r="M89" s="2084" t="n"/>
      <c r="N89" s="2084" t="n"/>
      <c r="O89" s="2084" t="n"/>
      <c r="P89" s="2084" t="n"/>
      <c r="Q89" s="2084" t="n"/>
      <c r="R89" s="2084" t="n"/>
    </row>
    <row r="90" ht="17.25" customFormat="1" customHeight="1" s="1099">
      <c r="I90" s="2040" t="inlineStr">
        <is>
          <t>Temp(00C)</t>
        </is>
      </c>
      <c r="J90" s="1983" t="n"/>
      <c r="K90" s="1131" t="n"/>
      <c r="L90" s="2033" t="n"/>
      <c r="M90" s="2084" t="n"/>
      <c r="N90" s="2084" t="n"/>
      <c r="O90" s="2084" t="n"/>
      <c r="P90" s="2084" t="n"/>
      <c r="Q90" s="2084" t="n"/>
      <c r="R90" s="2084" t="n"/>
    </row>
    <row r="91" ht="15" customFormat="1" customHeight="1" s="1099">
      <c r="I91" s="1401" t="inlineStr">
        <is>
          <t>CO2 Fles / Can 7 (200C)</t>
        </is>
      </c>
      <c r="J91" s="1983" t="inlineStr">
        <is>
          <t>[g/l]</t>
        </is>
      </c>
      <c r="K91" s="1127">
        <f>'Recept-voorblad'!$M$13</f>
        <v/>
      </c>
      <c r="L91" s="2033">
        <f>'Recept-voorblad'!$L$13</f>
        <v/>
      </c>
      <c r="M91" s="2084" t="n"/>
      <c r="N91" s="2084" t="n"/>
      <c r="O91" s="2084" t="n"/>
      <c r="P91" s="2084" t="n"/>
      <c r="Q91" s="2084" t="n"/>
      <c r="R91" s="2084" t="n"/>
    </row>
    <row r="92" ht="15" customFormat="1" customHeight="1" s="1099">
      <c r="I92" s="2042" t="inlineStr">
        <is>
          <t>CO2 Fust 7</t>
        </is>
      </c>
      <c r="J92" s="2043" t="inlineStr">
        <is>
          <t>[g/l]</t>
        </is>
      </c>
      <c r="K92" s="1127">
        <f>'Recept-voorblad'!$M$15</f>
        <v/>
      </c>
      <c r="L92" s="2033">
        <f>'Recept-voorblad'!$L$15</f>
        <v/>
      </c>
      <c r="M92" s="2044" t="n"/>
      <c r="N92" s="2044" t="n"/>
      <c r="O92" s="2044" t="n"/>
      <c r="P92" s="2044" t="n"/>
      <c r="Q92" s="2044" t="n"/>
      <c r="R92" s="2044" t="n"/>
    </row>
    <row r="93" ht="15" customFormat="1" customHeight="1" s="1099">
      <c r="I93" s="2042" t="inlineStr">
        <is>
          <t>Zuurstof Fust 7</t>
        </is>
      </c>
      <c r="J93" s="2047" t="inlineStr">
        <is>
          <t>[ppb]</t>
        </is>
      </c>
      <c r="K93" s="2048">
        <f>'Recept-voorblad'!$M$17</f>
        <v/>
      </c>
      <c r="L93" s="2049">
        <f>'Recept-voorblad'!$L$17</f>
        <v/>
      </c>
      <c r="M93" s="2050" t="n"/>
      <c r="N93" s="2050" t="n"/>
      <c r="O93" s="2050" t="n"/>
      <c r="P93" s="2050" t="n"/>
      <c r="Q93" s="2050" t="n"/>
      <c r="R93" s="2050" t="n"/>
    </row>
    <row r="94" ht="13.5" customHeight="1" s="1339"/>
    <row r="95" ht="13.5" customHeight="1" s="1339"/>
    <row r="96" ht="13.5" customHeight="1" s="1339"/>
    <row r="97" ht="13.5" customHeight="1" s="1339"/>
    <row r="98" ht="15" customFormat="1" customHeight="1" s="1099">
      <c r="I98" s="1425" t="inlineStr">
        <is>
          <t>DO Fles / Can 1</t>
        </is>
      </c>
      <c r="J98" s="1521" t="inlineStr">
        <is>
          <t>[ppb]</t>
        </is>
      </c>
      <c r="K98" s="2092">
        <f>'Recept-voorblad'!$M$17</f>
        <v/>
      </c>
    </row>
    <row r="99" ht="15" customFormat="1" customHeight="1" s="1099">
      <c r="I99" s="1099" t="inlineStr">
        <is>
          <t>HS vol.</t>
        </is>
      </c>
      <c r="J99" s="1521" t="n"/>
      <c r="K99" s="2092" t="n"/>
    </row>
    <row r="100" hidden="1" ht="13.5" customHeight="1" s="1339">
      <c r="I100" s="1099" t="inlineStr">
        <is>
          <t>Druk</t>
        </is>
      </c>
      <c r="J100" s="1521" t="n"/>
      <c r="K100" s="2092" t="n"/>
    </row>
    <row r="101" hidden="1" ht="13.5" customHeight="1" s="1339">
      <c r="I101" s="1099" t="inlineStr">
        <is>
          <t>Temp(00C)</t>
        </is>
      </c>
      <c r="J101" s="1521" t="n"/>
      <c r="K101" s="2092" t="n"/>
    </row>
    <row r="102" hidden="1" ht="13.5" customHeight="1" s="1339">
      <c r="I102" s="1425" t="inlineStr">
        <is>
          <t>CO2 Fles / Can 1 (200C)</t>
        </is>
      </c>
      <c r="J102" s="1521" t="inlineStr">
        <is>
          <t>[g/l]</t>
        </is>
      </c>
      <c r="K102" s="2093">
        <f>'Recept-voorblad'!$M$13</f>
        <v/>
      </c>
    </row>
    <row r="103" hidden="1" ht="13.5" customHeight="1" s="1339">
      <c r="I103" s="1425" t="inlineStr">
        <is>
          <t>CO2 Fust 1</t>
        </is>
      </c>
      <c r="J103" s="1521" t="inlineStr">
        <is>
          <t>[g/l]</t>
        </is>
      </c>
      <c r="K103" s="2093">
        <f>'Recept-voorblad'!$M$15</f>
        <v/>
      </c>
    </row>
    <row r="104" hidden="1" ht="13.5" customHeight="1" s="1339">
      <c r="I104" s="1425" t="inlineStr">
        <is>
          <t>Zuurstof Fust 1</t>
        </is>
      </c>
      <c r="J104" s="1521" t="inlineStr">
        <is>
          <t>[ppb]</t>
        </is>
      </c>
      <c r="K104" s="2093">
        <f>'Recept-voorblad'!$M$17</f>
        <v/>
      </c>
    </row>
  </sheetData>
  <mergeCells count="28">
    <mergeCell ref="A14:G14"/>
    <mergeCell ref="I17:L17"/>
    <mergeCell ref="A11:B11"/>
    <mergeCell ref="I20:L20"/>
    <mergeCell ref="E3:G4"/>
    <mergeCell ref="I19:L19"/>
    <mergeCell ref="A6:B6"/>
    <mergeCell ref="I5:L11"/>
    <mergeCell ref="I13:L13"/>
    <mergeCell ref="A7:B7"/>
    <mergeCell ref="E6:G10"/>
    <mergeCell ref="A47:C47"/>
    <mergeCell ref="D3:D4"/>
    <mergeCell ref="I3:R4"/>
    <mergeCell ref="A15:G15"/>
    <mergeCell ref="A1:R2"/>
    <mergeCell ref="E16:G16"/>
    <mergeCell ref="A12:B12"/>
    <mergeCell ref="A48:G50"/>
    <mergeCell ref="I16:L16"/>
    <mergeCell ref="A8:B8"/>
    <mergeCell ref="I18:L18"/>
    <mergeCell ref="E5:G5"/>
    <mergeCell ref="C3:C4"/>
    <mergeCell ref="I21:L21"/>
    <mergeCell ref="A10:B10"/>
    <mergeCell ref="A9:B9"/>
    <mergeCell ref="A3:B4"/>
  </mergeCells>
  <conditionalFormatting sqref="U48">
    <cfRule type="expression" rank="0" priority="2" equalAverage="0" aboveAverage="0" dxfId="26" text="" percent="0" bottom="0">
      <formula>$V$48 &gt; 0.99</formula>
    </cfRule>
  </conditionalFormatting>
  <conditionalFormatting sqref="U47">
    <cfRule type="expression" rank="0" priority="3" equalAverage="0" aboveAverage="0" dxfId="26" text="" percent="0" bottom="0">
      <formula>$V$47 &gt; 0.025</formula>
    </cfRule>
  </conditionalFormatting>
  <conditionalFormatting sqref="U46">
    <cfRule type="cellIs" rank="0" priority="4" equalAverage="0" operator="lessThan" aboveAverage="0" dxfId="26" text="" percent="0" bottom="0">
      <formula>$V$46</formula>
    </cfRule>
  </conditionalFormatting>
  <conditionalFormatting sqref="M25:R33 M35:R43 M45:R53 M55:R63 M65:R73 M75:R83 M85:R93">
    <cfRule type="expression" rank="0" priority="5" equalAverage="0" aboveAverage="0" dxfId="14" text="" percent="0" bottom="0">
      <formula>LEN(TRIM(M25))=0</formula>
    </cfRule>
  </conditionalFormatting>
  <conditionalFormatting sqref="M31:R31 M41:R41 M51:R51 M61:R61 M71:R71 M81:R81 M91:R91">
    <cfRule type="cellIs" rank="0" priority="6" equalAverage="0" operator="greaterThan" aboveAverage="0" dxfId="12" text="" percent="0" bottom="0">
      <formula>$K$31+$L$31</formula>
    </cfRule>
    <cfRule type="cellIs" rank="0" priority="7" equalAverage="0" operator="lessThan" aboveAverage="0" dxfId="12" text="" percent="0" bottom="0">
      <formula>$K$31-$L$31</formula>
    </cfRule>
    <cfRule type="cellIs" rank="0" priority="8" equalAverage="0" operator="between" aboveAverage="0" dxfId="27" text="" percent="0" bottom="0">
      <formula>$K$31-$L$31</formula>
      <formula>$K$31+$L$31</formula>
    </cfRule>
  </conditionalFormatting>
  <conditionalFormatting sqref="M32:R32 M42:R42 M52:R52 M62:R62 M72:R72 M82:R82 M92:R92">
    <cfRule type="cellIs" rank="0" priority="9" equalAverage="0" operator="lessThan" aboveAverage="0" dxfId="12" text="" percent="0" bottom="0">
      <formula>$K$32-$L$32</formula>
    </cfRule>
    <cfRule type="cellIs" rank="0" priority="10" equalAverage="0" operator="greaterThan" aboveAverage="0" dxfId="12" text="" percent="0" bottom="0">
      <formula>$K$32+$L$32</formula>
    </cfRule>
    <cfRule type="cellIs" rank="0" priority="11" equalAverage="0" operator="between" aboveAverage="0" dxfId="27" text="" percent="0" bottom="0">
      <formula>$K$32-$L$32</formula>
      <formula>$K$32+$L$32</formula>
    </cfRule>
  </conditionalFormatting>
  <conditionalFormatting sqref="M27:R27 M37:R37 M47:R47 M57:R57 M67:R67 M77:R77 M87:R87">
    <cfRule type="cellIs" rank="0" priority="12" equalAverage="0" operator="greaterThan" aboveAverage="0" dxfId="12" text="" percent="0" bottom="0">
      <formula>$K$27</formula>
    </cfRule>
    <cfRule type="cellIs" rank="0" priority="13" equalAverage="0" operator="lessThan" aboveAverage="0" dxfId="27" text="" percent="0" bottom="0">
      <formula>$K$27</formula>
    </cfRule>
  </conditionalFormatting>
  <conditionalFormatting sqref="M25:R25 M35:R35 M45:R45 M55:R55 M65:R65 M75:R75 M85:R85">
    <cfRule type="cellIs" rank="0" priority="14" equalAverage="0" operator="greaterThan" aboveAverage="0" dxfId="12" text="" percent="0" bottom="0">
      <formula>$K$25</formula>
    </cfRule>
    <cfRule type="cellIs" rank="0" priority="15" equalAverage="0" operator="lessThan" aboveAverage="0" dxfId="27" text="" percent="0" bottom="0">
      <formula>$K$25</formula>
    </cfRule>
  </conditionalFormatting>
  <conditionalFormatting sqref="M26:R26 M36:R36 M46:R46 M56:R56 M66:R66 M76:R76 M86:R86">
    <cfRule type="cellIs" rank="0" priority="16" equalAverage="0" operator="greaterThan" aboveAverage="0" dxfId="12" text="" percent="0" bottom="0">
      <formula>$K$26</formula>
    </cfRule>
    <cfRule type="cellIs" rank="0" priority="17" equalAverage="0" operator="lessThan" aboveAverage="0" dxfId="27" text="" percent="0" bottom="0">
      <formula>$K$26</formula>
    </cfRule>
  </conditionalFormatting>
  <conditionalFormatting sqref="M92:R93">
    <cfRule type="expression" rank="0" priority="18" equalAverage="0" aboveAverage="0" dxfId="28" text="" percent="0" bottom="0">
      <formula>LEN(TRIM(M92))=0</formula>
    </cfRule>
    <cfRule type="expression" rank="0" priority="19" equalAverage="0" aboveAverage="0" dxfId="14" text="" percent="0" bottom="0">
      <formula>LEN(TRIM(M92))=0</formula>
    </cfRule>
    <cfRule type="cellIs" rank="0" priority="20" equalAverage="0" operator="greaterThan" aboveAverage="0" dxfId="15" text="" percent="0" bottom="0">
      <formula>$K$26</formula>
    </cfRule>
    <cfRule type="cellIs" rank="0" priority="21" equalAverage="0" operator="lessThan" aboveAverage="0" dxfId="11" text="" percent="0" bottom="0">
      <formula>$K$26</formula>
    </cfRule>
  </conditionalFormatting>
  <conditionalFormatting sqref="M82:R83">
    <cfRule type="expression" rank="0" priority="22" equalAverage="0" aboveAverage="0" dxfId="28" text="" percent="0" bottom="0">
      <formula>LEN(TRIM(M82))=0</formula>
    </cfRule>
    <cfRule type="expression" rank="0" priority="23" equalAverage="0" aboveAverage="0" dxfId="14" text="" percent="0" bottom="0">
      <formula>LEN(TRIM(M82))=0</formula>
    </cfRule>
    <cfRule type="cellIs" rank="0" priority="24" equalAverage="0" operator="greaterThan" aboveAverage="0" dxfId="15" text="" percent="0" bottom="0">
      <formula>$K$26</formula>
    </cfRule>
    <cfRule type="cellIs" rank="0" priority="25" equalAverage="0" operator="lessThan" aboveAverage="0" dxfId="11" text="" percent="0" bottom="0">
      <formula>$K$26</formula>
    </cfRule>
  </conditionalFormatting>
  <conditionalFormatting sqref="M72:R73">
    <cfRule type="expression" rank="0" priority="26" equalAverage="0" aboveAverage="0" dxfId="28" text="" percent="0" bottom="0">
      <formula>LEN(TRIM(M72))=0</formula>
    </cfRule>
    <cfRule type="expression" rank="0" priority="27" equalAverage="0" aboveAverage="0" dxfId="14" text="" percent="0" bottom="0">
      <formula>LEN(TRIM(M72))=0</formula>
    </cfRule>
    <cfRule type="cellIs" rank="0" priority="28" equalAverage="0" operator="greaterThan" aboveAverage="0" dxfId="15" text="" percent="0" bottom="0">
      <formula>$K$26</formula>
    </cfRule>
    <cfRule type="cellIs" rank="0" priority="29" equalAverage="0" operator="lessThan" aboveAverage="0" dxfId="11" text="" percent="0" bottom="0">
      <formula>$K$26</formula>
    </cfRule>
  </conditionalFormatting>
  <conditionalFormatting sqref="M62:R63">
    <cfRule type="expression" rank="0" priority="30" equalAverage="0" aboveAverage="0" dxfId="28" text="" percent="0" bottom="0">
      <formula>LEN(TRIM(M62))=0</formula>
    </cfRule>
    <cfRule type="expression" rank="0" priority="31" equalAverage="0" aboveAverage="0" dxfId="14" text="" percent="0" bottom="0">
      <formula>LEN(TRIM(M62))=0</formula>
    </cfRule>
    <cfRule type="cellIs" rank="0" priority="32" equalAverage="0" operator="greaterThan" aboveAverage="0" dxfId="15" text="" percent="0" bottom="0">
      <formula>$K$26</formula>
    </cfRule>
    <cfRule type="cellIs" rank="0" priority="33" equalAverage="0" operator="lessThan" aboveAverage="0" dxfId="11" text="" percent="0" bottom="0">
      <formula>$K$26</formula>
    </cfRule>
  </conditionalFormatting>
  <conditionalFormatting sqref="M52:R53">
    <cfRule type="expression" rank="0" priority="34" equalAverage="0" aboveAverage="0" dxfId="28" text="" percent="0" bottom="0">
      <formula>LEN(TRIM(M52))=0</formula>
    </cfRule>
    <cfRule type="expression" rank="0" priority="35" equalAverage="0" aboveAverage="0" dxfId="14" text="" percent="0" bottom="0">
      <formula>LEN(TRIM(M52))=0</formula>
    </cfRule>
    <cfRule type="cellIs" rank="0" priority="36" equalAverage="0" operator="greaterThan" aboveAverage="0" dxfId="15" text="" percent="0" bottom="0">
      <formula>$K$26</formula>
    </cfRule>
    <cfRule type="cellIs" rank="0" priority="37" equalAverage="0" operator="lessThan" aboveAverage="0" dxfId="11" text="" percent="0" bottom="0">
      <formula>$K$26</formula>
    </cfRule>
  </conditionalFormatting>
  <conditionalFormatting sqref="M65:R71 M75:R81 M85:R91">
    <cfRule type="expression" rank="0" priority="38" equalAverage="0" aboveAverage="0" dxfId="14" text="" percent="0" bottom="0">
      <formula>LEN(TRIM(M65))=0</formula>
    </cfRule>
  </conditionalFormatting>
  <conditionalFormatting sqref="M55:R60">
    <cfRule type="expression" rank="0" priority="39" equalAverage="0" aboveAverage="0" dxfId="14" text="" percent="0" bottom="0">
      <formula>LEN(TRIM(M55))=0</formula>
    </cfRule>
  </conditionalFormatting>
  <conditionalFormatting sqref="M61:R61">
    <cfRule type="expression" rank="0" priority="40" equalAverage="0" aboveAverage="0" dxfId="14" text="" percent="0" bottom="0">
      <formula>LEN(TRIM(M61))=0</formula>
    </cfRule>
    <cfRule type="cellIs" rank="0" priority="41" equalAverage="0" operator="greaterThan" aboveAverage="0" dxfId="15" text="" percent="0" bottom="0">
      <formula>$K$26</formula>
    </cfRule>
    <cfRule type="cellIs" rank="0" priority="42" equalAverage="0" operator="lessThan" aboveAverage="0" dxfId="11" text="" percent="0" bottom="0">
      <formula>$K$26</formula>
    </cfRule>
  </conditionalFormatting>
  <conditionalFormatting sqref="M45:R50">
    <cfRule type="expression" rank="0" priority="43" equalAverage="0" aboveAverage="0" dxfId="14" text="" percent="0" bottom="0">
      <formula>LEN(TRIM(M45))=0</formula>
    </cfRule>
  </conditionalFormatting>
  <conditionalFormatting sqref="M51:R51">
    <cfRule type="expression" rank="0" priority="44" equalAverage="0" aboveAverage="0" dxfId="14" text="" percent="0" bottom="0">
      <formula>LEN(TRIM(M51))=0</formula>
    </cfRule>
    <cfRule type="cellIs" rank="0" priority="45" equalAverage="0" operator="greaterThan" aboveAverage="0" dxfId="15" text="" percent="0" bottom="0">
      <formula>$K$26</formula>
    </cfRule>
    <cfRule type="cellIs" rank="0" priority="46" equalAverage="0" operator="lessThan" aboveAverage="0" dxfId="11" text="" percent="0" bottom="0">
      <formula>$K$26</formula>
    </cfRule>
  </conditionalFormatting>
  <conditionalFormatting sqref="M35:R40">
    <cfRule type="expression" rank="0" priority="47" equalAverage="0" aboveAverage="0" dxfId="14" text="" percent="0" bottom="0">
      <formula>LEN(TRIM(M35))=0</formula>
    </cfRule>
  </conditionalFormatting>
  <conditionalFormatting sqref="M41:R41">
    <cfRule type="expression" rank="0" priority="48" equalAverage="0" aboveAverage="0" dxfId="14" text="" percent="0" bottom="0">
      <formula>LEN(TRIM(M41))=0</formula>
    </cfRule>
    <cfRule type="cellIs" rank="0" priority="49" equalAverage="0" operator="greaterThan" aboveAverage="0" dxfId="15" text="" percent="0" bottom="0">
      <formula>$K$26</formula>
    </cfRule>
    <cfRule type="cellIs" rank="0" priority="50" equalAverage="0" operator="lessThan" aboveAverage="0" dxfId="11" text="" percent="0" bottom="0">
      <formula>$K$26</formula>
    </cfRule>
  </conditionalFormatting>
  <conditionalFormatting sqref="E6">
    <cfRule type="containsText" rank="0" priority="51" equalAverage="0" operator="containsText" aboveAverage="0" dxfId="18" text="Gevaarlijk" percent="0" bottom="0">
      <formula>NOT(ISERROR(SEARCH("Gevaarlijk",E6)))</formula>
    </cfRule>
    <cfRule type="containsText" rank="0" priority="52" equalAverage="0" operator="containsText" aboveAverage="0" dxfId="11" text="Standaard" percent="0" bottom="0">
      <formula>NOT(ISERROR(SEARCH("Standaard",E6)))</formula>
    </cfRule>
    <cfRule type="containsText" rank="0" priority="53" equalAverage="0" operator="containsText" aboveAverage="0" dxfId="10" text="Gevoelig" percent="0" bottom="0">
      <formula>NOT(ISERROR(SEARCH("Gevoelig",E6)))</formula>
    </cfRule>
  </conditionalFormatting>
  <conditionalFormatting sqref="M33:R33 M43:R43 M53:R53 M63:R63 M73:R73 M83:R83 M93:R93">
    <cfRule type="cellIs" rank="0" priority="54" equalAverage="0" operator="greaterThan" aboveAverage="0" dxfId="15" text="" percent="0" bottom="0">
      <formula>$K$33</formula>
    </cfRule>
    <cfRule type="cellIs" rank="0" priority="55" equalAverage="0" operator="lessThan" aboveAverage="0" dxfId="11" text="" percent="0" bottom="0">
      <formula>$K$33</formula>
    </cfRule>
  </conditionalFormatting>
  <dataValidations count="12">
    <dataValidation sqref="E19 E24 E29 E34 E39 E41 E44 H16 H21 H23 H26" showDropDown="0" showInputMessage="1" showErrorMessage="1" allowBlank="1" type="list" errorStyle="stop" operator="between">
      <formula1>"Geen logo,Logo (zie voorblad)"</formula1>
      <formula2>0</formula2>
    </dataValidation>
    <dataValidation sqref="C18 C23 C28 C33 C38 E17 E22 E27 E32 E37 H14 H19" showDropDown="0" showInputMessage="1" showErrorMessage="1" allowBlank="1" type="list" errorStyle="stop" operator="between">
      <formula1>"Standaard,Afwijkend (zie opmerkingen)"</formula1>
      <formula2>0</formula2>
    </dataValidation>
    <dataValidation sqref="C42 C45 E18 E23 E28 E33 E38 H15 H20" showDropDown="0" showInputMessage="1" showErrorMessage="1" allowBlank="1" type="list" errorStyle="stop" operator="between">
      <formula1>"Geen EAN Code,EAN code toevoegen (zie specificaties)"</formula1>
      <formula2>0</formula2>
    </dataValidation>
    <dataValidation sqref="C16 C21 C26" showDropDown="0" showInputMessage="1" showErrorMessage="1" allowBlank="1" type="list" errorStyle="stop" operator="between">
      <formula1>"33cl Jopen LN,33cl LN,30cl BNR,75cl,Anders (zie opmerkingen)"</formula1>
      <formula2>0</formula2>
    </dataValidation>
    <dataValidation sqref="C17 C22 C27 C32 C37" showDropDown="0" showInputMessage="1" showErrorMessage="1" allowBlank="1" type="list" errorStyle="stop" operator="between">
      <formula1>"NL,Cat 1,Cat 2,Cat 3,Blanco,Anders (zie opmerkingen)"</formula1>
      <formula2>0</formula2>
    </dataValidation>
    <dataValidation sqref="C19 C24 C29" showDropDown="0" showInputMessage="1" showErrorMessage="1" allowBlank="1" type="list" errorStyle="stop" operator="between">
      <formula1>"Jopen KK,Blauw KK,Zilver KK,Zwart KK"</formula1>
      <formula2>0</formula2>
    </dataValidation>
    <dataValidation sqref="E16:G16 E21:G21 E26:G26" showDropDown="0" showInputMessage="1" showErrorMessage="1" allowBlank="1" type="list" errorStyle="stop" operator="between">
      <formula1>"Blanco 12x33cl,Jopen 12x33cl,Blanco 24x33cl,Jopen 24x33cl,Jopen 6x75cl,Anders (zie opmerkingen)"</formula1>
      <formula2>0</formula2>
    </dataValidation>
    <dataValidation sqref="E31:G31 E36:G36" showDropDown="0" showInputMessage="1" showErrorMessage="1" allowBlank="1" type="list" errorStyle="stop" operator="between">
      <formula1>"Blanco 12x33cl,Jopen 12x33cl,Blanco 24x33cl,Jopen 24x33cl,Anders (zie opmerkingen)"</formula1>
      <formula2>0</formula2>
    </dataValidation>
    <dataValidation sqref="C41 C44" showDropDown="0" showInputMessage="1" showErrorMessage="1" allowBlank="1" type="list" errorStyle="stop" operator="between">
      <formula1>"Fust 20 liter,Fust 30 liter,Fust 50 liter,Keykeg 20 liter,Keykeg 30 liter,Polykeg 20L A,Polykeg 20L S,Anders (zie opmerkingen)"</formula1>
      <formula2>0</formula2>
    </dataValidation>
    <dataValidation sqref="C31 C36" showDropDown="0" showInputMessage="1" showErrorMessage="1" allowBlank="1" type="list" errorStyle="stop" operator="between">
      <formula1>"labelled,silver bullet"</formula1>
      <formula2>0</formula2>
    </dataValidation>
    <dataValidation sqref="C34 C39" showDropDown="0" showInputMessage="1" showErrorMessage="1" allowBlank="1" type="list" errorStyle="stop" operator="between">
      <formula1>"Zilver,Zwart"</formula1>
      <formula2>0</formula2>
    </dataValidation>
    <dataValidation sqref="U23" showDropDown="0" showInputMessage="1" showErrorMessage="1" allowBlank="1" type="list" errorStyle="stop" operator="between">
      <formula1>"can 330ml,can 440ml,bottle 330ml,bottle 750m+$V$23,can 275ml"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R102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selection pane="topLeft" activeCell="I42" activeCellId="0" sqref="I42"/>
    </sheetView>
  </sheetViews>
  <sheetFormatPr baseColWidth="8" defaultColWidth="8.00390625" defaultRowHeight="15" zeroHeight="1" outlineLevelRow="1"/>
  <cols>
    <col width="2.5" customWidth="1" style="2094" min="1" max="1"/>
    <col width="26.13" customWidth="1" style="2095" min="2" max="2"/>
    <col width="13.12" customWidth="1" style="2096" min="3" max="3"/>
    <col width="8.119999999999999" customWidth="1" style="2097" min="4" max="9"/>
    <col width="1.62" customWidth="1" style="2097" min="10" max="10"/>
    <col width="9.5" customWidth="1" style="2097" min="11" max="11"/>
    <col width="2.12" customWidth="1" style="2097" min="12" max="12"/>
    <col width="10.12" customWidth="1" style="2098" min="13" max="13"/>
    <col width="1.62" customWidth="1" style="2097" min="14" max="14"/>
    <col width="22.62" customWidth="1" style="2098" min="15" max="15"/>
    <col width="1.62" customWidth="1" style="2097" min="16" max="16"/>
    <col width="8" customWidth="1" style="2097" min="17" max="17"/>
    <col width="8.5" customWidth="1" style="2097" min="18" max="18"/>
    <col width="2.5" customWidth="1" style="2097" min="19" max="19"/>
    <col width="8" customWidth="1" style="2097" min="20" max="20"/>
    <col hidden="1" width="8" customWidth="1" style="2094" min="21" max="16384"/>
  </cols>
  <sheetData>
    <row r="1" ht="15.75" customHeight="1" s="1339">
      <c r="A1" s="1425" t="n"/>
      <c r="B1" s="1826" t="inlineStr">
        <is>
          <t>Afvulverslag</t>
        </is>
      </c>
      <c r="C1" s="1106" t="n"/>
      <c r="D1" s="1106" t="n"/>
      <c r="E1" s="1106" t="n"/>
      <c r="F1" s="1106" t="n"/>
      <c r="G1" s="1106" t="n"/>
      <c r="H1" s="1106" t="n"/>
      <c r="I1" s="1106" t="n"/>
      <c r="M1" s="2099" t="inlineStr">
        <is>
          <t>TOTALEN</t>
        </is>
      </c>
      <c r="N1" s="2100" t="n"/>
      <c r="O1" s="2100" t="n"/>
      <c r="P1" s="2100" t="n"/>
      <c r="Q1" s="2100" t="n"/>
      <c r="R1" s="2101" t="n"/>
    </row>
    <row r="2" ht="15.75" customHeight="1" s="1339">
      <c r="A2" s="1425" t="n"/>
      <c r="B2" s="1108" t="n"/>
      <c r="C2" s="1093" t="n"/>
      <c r="D2" s="1093" t="n"/>
      <c r="E2" s="1093" t="n"/>
      <c r="F2" s="1093" t="n"/>
      <c r="G2" s="1093" t="n"/>
      <c r="H2" s="1093" t="n"/>
      <c r="I2" s="1093" t="n"/>
      <c r="M2" s="2102" t="n"/>
      <c r="O2" s="1530" t="n"/>
      <c r="Q2" s="2103" t="n"/>
      <c r="R2" s="2104" t="n"/>
    </row>
    <row r="3" ht="15.75" customHeight="1" s="1339">
      <c r="A3" s="1425" t="n"/>
      <c r="B3" s="2013" t="inlineStr">
        <is>
          <t xml:space="preserve">Naam Bier </t>
        </is>
      </c>
      <c r="C3" s="2105">
        <f>Afvullen!C3</f>
        <v/>
      </c>
      <c r="D3" s="1075" t="n"/>
      <c r="E3" s="1076" t="n"/>
      <c r="F3" s="2026" t="inlineStr">
        <is>
          <t xml:space="preserve">Batch </t>
        </is>
      </c>
      <c r="G3" s="1076" t="n"/>
      <c r="H3" s="2105">
        <f>'Recept-voorblad'!K3</f>
        <v/>
      </c>
      <c r="I3" s="1076" t="n"/>
      <c r="M3" s="2106" t="inlineStr">
        <is>
          <t>Totaal HL's van Verwer- king (Liters)</t>
        </is>
      </c>
      <c r="O3" s="2010" t="inlineStr">
        <is>
          <t>Totaal Afgevuld</t>
        </is>
      </c>
      <c r="Q3" s="2107" t="inlineStr">
        <is>
          <t>Nog te doen / restant / verlies</t>
        </is>
      </c>
      <c r="R3" s="2108" t="n"/>
    </row>
    <row r="4" ht="15.75" customHeight="1" s="1339">
      <c r="A4" s="1425" t="n"/>
      <c r="B4" s="1264" t="n"/>
      <c r="C4" s="1079" t="n"/>
      <c r="D4" s="1080" t="n"/>
      <c r="E4" s="1081" t="n"/>
      <c r="F4" s="1079" t="n"/>
      <c r="G4" s="1081" t="n"/>
      <c r="H4" s="1079" t="n"/>
      <c r="I4" s="1081" t="n"/>
      <c r="M4" s="2109" t="n"/>
      <c r="O4" s="1264" t="n"/>
      <c r="Q4" s="1079" t="n"/>
      <c r="R4" s="2110" t="n"/>
    </row>
    <row r="5" ht="15" customHeight="1" s="1339">
      <c r="A5" s="1425" t="n"/>
      <c r="B5" s="2111" t="inlineStr">
        <is>
          <t>Opmerkingen bij afvullen</t>
        </is>
      </c>
      <c r="C5" s="2112" t="n"/>
      <c r="D5" s="2113" t="n"/>
      <c r="E5" s="2113" t="n"/>
      <c r="F5" s="2113" t="n"/>
      <c r="G5" s="2113" t="n"/>
      <c r="H5" s="2113" t="n"/>
      <c r="I5" s="2113" t="n"/>
      <c r="M5" s="2114" t="n"/>
      <c r="O5" s="2115" t="inlineStr">
        <is>
          <t>(liters)</t>
        </is>
      </c>
      <c r="Q5" s="2116" t="inlineStr">
        <is>
          <t>(liters)</t>
        </is>
      </c>
      <c r="R5" s="2117" t="inlineStr">
        <is>
          <t>%</t>
        </is>
      </c>
    </row>
    <row r="6" ht="15" customHeight="1" s="1339">
      <c r="A6" s="1425" t="n"/>
      <c r="B6" s="2118" t="n"/>
      <c r="C6" s="1076" t="n"/>
      <c r="D6" s="2023" t="inlineStr">
        <is>
          <t>Datum</t>
        </is>
      </c>
      <c r="E6" s="2023" t="inlineStr">
        <is>
          <t>Datum</t>
        </is>
      </c>
      <c r="F6" s="2023" t="inlineStr">
        <is>
          <t>Datum</t>
        </is>
      </c>
      <c r="G6" s="2023" t="inlineStr">
        <is>
          <t>Datum</t>
        </is>
      </c>
      <c r="H6" s="2023" t="inlineStr">
        <is>
          <t>Datum</t>
        </is>
      </c>
      <c r="I6" s="2023" t="inlineStr">
        <is>
          <t>Datum</t>
        </is>
      </c>
      <c r="J6" s="1521" t="n"/>
      <c r="K6" s="1521" t="n"/>
      <c r="L6" s="1521" t="n"/>
      <c r="M6" s="2119">
        <f>Verwerking!D63*100</f>
        <v/>
      </c>
      <c r="N6" s="1531" t="n"/>
      <c r="O6" s="2120">
        <f>(M9+M11+M13+Q9)</f>
        <v/>
      </c>
      <c r="P6" s="1531" t="n"/>
      <c r="Q6" s="2121">
        <f>M6-O6</f>
        <v/>
      </c>
      <c r="R6" s="2122">
        <f>1-O6/M6</f>
        <v/>
      </c>
    </row>
    <row r="7" ht="15" customHeight="1" s="1339">
      <c r="A7" s="1425" t="n"/>
      <c r="B7" s="1160" t="n"/>
      <c r="C7" s="1083" t="n"/>
      <c r="D7" s="2123" t="n"/>
      <c r="E7" s="2123" t="n"/>
      <c r="F7" s="2123" t="n"/>
      <c r="G7" s="2123" t="n"/>
      <c r="H7" s="2123" t="n"/>
      <c r="I7" s="2123" t="n"/>
      <c r="J7" s="1521" t="n"/>
      <c r="K7" s="1521" t="n"/>
      <c r="L7" s="1521" t="n"/>
      <c r="M7" s="2124" t="n"/>
      <c r="N7" s="1521" t="n"/>
      <c r="O7" s="2125" t="n"/>
      <c r="P7" s="1521" t="n"/>
      <c r="Q7" s="2126" t="n"/>
      <c r="R7" s="2127" t="n"/>
    </row>
    <row r="8" ht="15" customHeight="1" s="1339">
      <c r="A8" s="1425" t="n"/>
      <c r="B8" s="1160" t="n"/>
      <c r="C8" s="1083" t="n"/>
      <c r="D8" s="2128" t="inlineStr">
        <is>
          <t>HBT nr</t>
        </is>
      </c>
      <c r="E8" s="2128" t="inlineStr">
        <is>
          <t>HBT nr</t>
        </is>
      </c>
      <c r="F8" s="2128" t="inlineStr">
        <is>
          <t>HBT nr</t>
        </is>
      </c>
      <c r="G8" s="2128" t="inlineStr">
        <is>
          <t>HBT nr</t>
        </is>
      </c>
      <c r="H8" s="2128" t="inlineStr">
        <is>
          <t>HBT nr</t>
        </is>
      </c>
      <c r="I8" s="2128" t="inlineStr">
        <is>
          <t>HBT nr</t>
        </is>
      </c>
      <c r="J8" s="1521" t="n"/>
      <c r="K8" s="1521" t="n"/>
      <c r="L8" s="1521" t="n"/>
      <c r="M8" s="2129" t="inlineStr">
        <is>
          <t>Totaal Liters Fles</t>
        </is>
      </c>
      <c r="N8" s="1114" t="n"/>
      <c r="O8" s="1115" t="n"/>
      <c r="P8" s="1521" t="n"/>
      <c r="Q8" s="2130" t="inlineStr">
        <is>
          <t>Totaal Liters Blik</t>
        </is>
      </c>
      <c r="R8" s="1114" t="n"/>
    </row>
    <row r="9" ht="15" customHeight="1" s="1339">
      <c r="A9" s="1425" t="n"/>
      <c r="B9" s="1160" t="n"/>
      <c r="C9" s="1083" t="n"/>
      <c r="D9" s="2131" t="n"/>
      <c r="E9" s="2131" t="n"/>
      <c r="F9" s="2131" t="n"/>
      <c r="G9" s="2131" t="n"/>
      <c r="H9" s="2131" t="n"/>
      <c r="I9" s="2131" t="n"/>
      <c r="J9" s="1521" t="n"/>
      <c r="K9" s="1521" t="n"/>
      <c r="L9" s="1521" t="n"/>
      <c r="M9" s="2132">
        <f>SUM(M17:M26)</f>
        <v/>
      </c>
      <c r="N9" s="1114" t="n"/>
      <c r="O9" s="1115" t="n"/>
      <c r="P9" s="1521" t="n"/>
      <c r="Q9" s="2133">
        <f>SUM(M28:M31)</f>
        <v/>
      </c>
      <c r="R9" s="1114" t="n"/>
    </row>
    <row r="10" ht="15" customHeight="1" s="1339">
      <c r="A10" s="1425" t="n"/>
      <c r="B10" s="1160" t="n"/>
      <c r="C10" s="1083" t="n"/>
      <c r="D10" s="2134" t="inlineStr">
        <is>
          <t>Volume (HL)</t>
        </is>
      </c>
      <c r="E10" s="2134" t="inlineStr">
        <is>
          <t>Volume (HL)</t>
        </is>
      </c>
      <c r="F10" s="2134" t="inlineStr">
        <is>
          <t>Volume (HL)</t>
        </is>
      </c>
      <c r="G10" s="2134" t="inlineStr">
        <is>
          <t>Volume (HL)</t>
        </is>
      </c>
      <c r="H10" s="2134" t="inlineStr">
        <is>
          <t>Volume (HL)</t>
        </is>
      </c>
      <c r="I10" s="2134" t="inlineStr">
        <is>
          <t>Volume (HL)</t>
        </is>
      </c>
      <c r="J10" s="1521" t="n"/>
      <c r="K10" s="1521" t="n"/>
      <c r="L10" s="1521" t="n"/>
      <c r="M10" s="2129" t="inlineStr">
        <is>
          <t>Totaal Liters Fust</t>
        </is>
      </c>
      <c r="N10" s="1114" t="n"/>
      <c r="O10" s="1115" t="n"/>
      <c r="P10" s="1521" t="n"/>
      <c r="Q10" s="1521" t="n"/>
      <c r="R10" s="2104" t="n"/>
    </row>
    <row r="11" ht="15" customHeight="1" s="1339">
      <c r="A11" s="1425" t="n"/>
      <c r="B11" s="1079" t="n"/>
      <c r="C11" s="1081" t="n"/>
      <c r="D11" s="1357" t="n"/>
      <c r="E11" s="1357" t="n"/>
      <c r="F11" s="1357" t="n"/>
      <c r="G11" s="1357" t="n"/>
      <c r="H11" s="1357" t="n"/>
      <c r="I11" s="1357" t="n"/>
      <c r="J11" s="1521" t="n"/>
      <c r="K11" s="1521" t="n"/>
      <c r="L11" s="1521" t="n"/>
      <c r="M11" s="2135">
        <f>SUM(M34:M41)</f>
        <v/>
      </c>
      <c r="N11" s="1075" t="n"/>
      <c r="O11" s="1076" t="n"/>
      <c r="P11" s="1521" t="n"/>
      <c r="Q11" s="1521" t="n"/>
      <c r="R11" s="2104" t="n"/>
    </row>
    <row r="12" ht="15" customHeight="1" s="1339">
      <c r="A12" s="1425" t="n"/>
      <c r="D12" s="1521" t="n"/>
      <c r="E12" s="1521" t="n"/>
      <c r="F12" s="1521" t="n"/>
      <c r="G12" s="1521" t="n"/>
      <c r="H12" s="1521" t="n"/>
      <c r="I12" s="1521" t="n"/>
      <c r="J12" s="1521" t="n"/>
      <c r="K12" s="1521" t="n"/>
      <c r="L12" s="1521" t="n"/>
      <c r="M12" s="2129" t="inlineStr">
        <is>
          <t>Totaal samengevoegd</t>
        </is>
      </c>
      <c r="N12" s="1114" t="n"/>
      <c r="O12" s="1115" t="n"/>
      <c r="P12" s="1521" t="n"/>
      <c r="Q12" s="1521" t="n"/>
      <c r="R12" s="2104" t="n"/>
    </row>
    <row r="13" ht="15.75" customFormat="1" customHeight="1" s="1425">
      <c r="A13" s="1425">
        <f>+J13-$J$13+K13/24-$K$13/24</f>
        <v/>
      </c>
      <c r="B13" s="2136" t="inlineStr">
        <is>
          <t>Ingevuld door</t>
        </is>
      </c>
      <c r="C13" s="2026" t="inlineStr">
        <is>
          <t>Naam</t>
        </is>
      </c>
      <c r="D13" s="2137" t="n"/>
      <c r="E13" s="2137" t="n"/>
      <c r="F13" s="2137" t="n"/>
      <c r="G13" s="2137" t="n"/>
      <c r="H13" s="2137" t="n"/>
      <c r="I13" s="2138" t="n"/>
      <c r="J13" s="1521" t="n"/>
      <c r="K13" s="1521" t="n"/>
      <c r="L13" s="1521" t="n"/>
      <c r="M13" s="2139">
        <f>SUM(K44:K46)</f>
        <v/>
      </c>
      <c r="N13" s="2140" t="n"/>
      <c r="O13" s="2141" t="n"/>
      <c r="P13" s="2142" t="n"/>
      <c r="Q13" s="2142" t="n"/>
      <c r="R13" s="2143" t="n"/>
    </row>
    <row r="14" ht="15.75" customFormat="1" customHeight="1" s="1425">
      <c r="B14" s="2144" t="n"/>
      <c r="C14" s="1521" t="n"/>
      <c r="J14" s="1521" t="n"/>
      <c r="M14" s="1520" t="n"/>
      <c r="N14" s="1521" t="n"/>
      <c r="O14" s="1521" t="n"/>
      <c r="P14" s="1521" t="n"/>
      <c r="Q14" s="1521" t="n"/>
    </row>
    <row r="15" ht="18.75" customFormat="1" customHeight="1" s="1425">
      <c r="B15" s="2144" t="n"/>
      <c r="C15" s="1521" t="n"/>
      <c r="D15" s="1521" t="n"/>
      <c r="E15" s="1521" t="n"/>
      <c r="F15" s="1521" t="n"/>
      <c r="G15" s="1521" t="n"/>
      <c r="H15" s="1521" t="n"/>
      <c r="I15" s="1521" t="n"/>
      <c r="J15" s="1521" t="n"/>
      <c r="K15" s="2145" t="inlineStr">
        <is>
          <t>OPBOEKEN (+)</t>
        </is>
      </c>
      <c r="L15" s="1114" t="n"/>
      <c r="M15" s="1115" t="n"/>
      <c r="N15" s="1521" t="n"/>
      <c r="O15" s="1521" t="n"/>
      <c r="P15" s="1521" t="n"/>
      <c r="Q15" s="1521" t="n"/>
    </row>
    <row r="16" ht="15" customFormat="1" customHeight="1" s="1425">
      <c r="B16" s="2146" t="inlineStr">
        <is>
          <t>AFVUL FLESSEN</t>
        </is>
      </c>
      <c r="C16" s="2147" t="inlineStr">
        <is>
          <t>EAN</t>
        </is>
      </c>
      <c r="D16" s="2010" t="inlineStr">
        <is>
          <t>Aantallen</t>
        </is>
      </c>
      <c r="E16" s="2010" t="inlineStr">
        <is>
          <t>Aantallen</t>
        </is>
      </c>
      <c r="F16" s="2010" t="inlineStr">
        <is>
          <t>Aantallen</t>
        </is>
      </c>
      <c r="G16" s="2010" t="inlineStr">
        <is>
          <t>Aantallen</t>
        </is>
      </c>
      <c r="H16" s="2010" t="inlineStr">
        <is>
          <t>Aantallen</t>
        </is>
      </c>
      <c r="I16" s="2010" t="inlineStr">
        <is>
          <t>Aantallen</t>
        </is>
      </c>
      <c r="J16" s="2112" t="n"/>
      <c r="K16" s="2148" t="inlineStr">
        <is>
          <t>TOTALEN</t>
        </is>
      </c>
      <c r="L16" s="1521" t="n"/>
      <c r="M16" s="2148" t="inlineStr">
        <is>
          <t>LITERS</t>
        </is>
      </c>
      <c r="N16" s="1521" t="n"/>
      <c r="O16" s="1521" t="n"/>
      <c r="P16" s="1521" t="n"/>
      <c r="Q16" s="1521" t="n"/>
    </row>
    <row r="17" outlineLevel="1" ht="15" customFormat="1" customHeight="1" s="1425">
      <c r="B17" s="2013" t="inlineStr">
        <is>
          <t>Doos 24x33cl</t>
        </is>
      </c>
      <c r="C17" s="2149">
        <f>Afvullen!C6</f>
        <v/>
      </c>
      <c r="D17" s="2150" t="n"/>
      <c r="E17" s="2151" t="n"/>
      <c r="F17" s="2151" t="n"/>
      <c r="G17" s="2151" t="n"/>
      <c r="H17" s="2151" t="n"/>
      <c r="I17" s="2150" t="n"/>
      <c r="J17" s="1521" t="n"/>
      <c r="K17" s="2152">
        <f>SUM(D17:I17)</f>
        <v/>
      </c>
      <c r="L17" s="2153" t="n"/>
      <c r="M17" s="2154">
        <f>K17*0.33*24</f>
        <v/>
      </c>
    </row>
    <row r="18" outlineLevel="1" ht="15" customFormat="1" customHeight="1" s="1425">
      <c r="B18" s="2013" t="inlineStr">
        <is>
          <t>Doos 24x33cl - BLANCO</t>
        </is>
      </c>
      <c r="C18" s="2149">
        <f>C17</f>
        <v/>
      </c>
      <c r="D18" s="2150" t="n"/>
      <c r="E18" s="2151" t="n"/>
      <c r="F18" s="2151" t="n"/>
      <c r="G18" s="2151" t="n"/>
      <c r="H18" s="2151" t="n"/>
      <c r="I18" s="2150" t="n"/>
      <c r="J18" s="1521" t="n"/>
      <c r="K18" s="2152">
        <f>SUM(D18:I18)</f>
        <v/>
      </c>
      <c r="L18" s="2153" t="n"/>
      <c r="M18" s="2154">
        <f>K18*0.33*24</f>
        <v/>
      </c>
    </row>
    <row r="19" outlineLevel="1" ht="15" customFormat="1" customHeight="1" s="1425">
      <c r="B19" s="2155" t="n"/>
      <c r="C19" s="1521" t="n"/>
      <c r="D19" s="2156" t="n"/>
      <c r="E19" s="2156" t="n"/>
      <c r="F19" s="2156" t="n"/>
      <c r="G19" s="2156" t="n"/>
      <c r="H19" s="2156" t="n"/>
      <c r="I19" s="2157" t="n"/>
      <c r="J19" s="1521" t="n"/>
      <c r="K19" s="2152" t="n"/>
      <c r="L19" s="2153" t="n"/>
      <c r="M19" s="2154" t="n"/>
    </row>
    <row r="20" outlineLevel="1" ht="15" customFormat="1" customHeight="1" s="1425">
      <c r="B20" s="2013" t="inlineStr">
        <is>
          <t>Doos 12x33cl</t>
        </is>
      </c>
      <c r="C20" s="2149">
        <f>Afvullen!C7</f>
        <v/>
      </c>
      <c r="D20" s="2150" t="n"/>
      <c r="E20" s="2151" t="n"/>
      <c r="F20" s="2151" t="n"/>
      <c r="G20" s="2151" t="n"/>
      <c r="H20" s="2151" t="n"/>
      <c r="I20" s="2150" t="n"/>
      <c r="J20" s="1521" t="n"/>
      <c r="K20" s="2152">
        <f>SUM(D20:I20)</f>
        <v/>
      </c>
      <c r="L20" s="2153" t="n"/>
      <c r="M20" s="2154">
        <f>K20*0.33*12</f>
        <v/>
      </c>
    </row>
    <row r="21" outlineLevel="1" ht="15" customFormat="1" customHeight="1" s="1425">
      <c r="B21" s="2013" t="inlineStr">
        <is>
          <t>Doos 12x33cl - BLANCO</t>
        </is>
      </c>
      <c r="C21" s="2149">
        <f>C20</f>
        <v/>
      </c>
      <c r="D21" s="2150" t="n"/>
      <c r="E21" s="2151" t="n"/>
      <c r="F21" s="2151" t="n"/>
      <c r="G21" s="2151" t="n"/>
      <c r="H21" s="2151" t="n"/>
      <c r="I21" s="2150" t="n"/>
      <c r="J21" s="1521" t="n"/>
      <c r="K21" s="2152">
        <f>SUM(D21:I21)</f>
        <v/>
      </c>
      <c r="L21" s="2153" t="n"/>
      <c r="M21" s="2154">
        <f>K21*0.33*12</f>
        <v/>
      </c>
    </row>
    <row r="22" ht="13.5" customFormat="1" customHeight="1" s="1425">
      <c r="B22" s="2155" t="n"/>
      <c r="C22" s="1521" t="n"/>
      <c r="D22" s="2156" t="n"/>
      <c r="E22" s="2156" t="n"/>
      <c r="F22" s="2156" t="n"/>
      <c r="G22" s="2156" t="n"/>
      <c r="H22" s="2156" t="n"/>
      <c r="I22" s="2157" t="n"/>
      <c r="J22" s="1521" t="n"/>
      <c r="K22" s="2152" t="n"/>
      <c r="L22" s="2153" t="n"/>
      <c r="M22" s="2154" t="n"/>
    </row>
    <row r="23" outlineLevel="1" ht="15" customFormat="1" customHeight="1" s="1425">
      <c r="B23" s="2013" t="inlineStr">
        <is>
          <t>Doos 6x75cl</t>
        </is>
      </c>
      <c r="C23" s="2149" t="n"/>
      <c r="D23" s="2150" t="n"/>
      <c r="E23" s="2151" t="n"/>
      <c r="F23" s="2151" t="n"/>
      <c r="G23" s="2151" t="n"/>
      <c r="H23" s="2151" t="n"/>
      <c r="I23" s="2150" t="n"/>
      <c r="J23" s="1521" t="n"/>
      <c r="K23" s="2152">
        <f>SUM(D23:I23)</f>
        <v/>
      </c>
      <c r="L23" s="2153" t="n"/>
      <c r="M23" s="2154">
        <f>K23*6*0.75</f>
        <v/>
      </c>
    </row>
    <row r="24" outlineLevel="1" ht="15" customFormat="1" customHeight="1" s="1425">
      <c r="B24" s="2013" t="inlineStr">
        <is>
          <t>Doos 6x75cl - BLANCO</t>
        </is>
      </c>
      <c r="C24" s="2149">
        <f>C23</f>
        <v/>
      </c>
      <c r="D24" s="2150" t="n"/>
      <c r="E24" s="2151" t="n"/>
      <c r="F24" s="2151" t="n"/>
      <c r="G24" s="2151" t="n"/>
      <c r="H24" s="2151" t="n"/>
      <c r="I24" s="2150" t="n"/>
      <c r="J24" s="1521" t="n"/>
      <c r="K24" s="2152">
        <f>SUM(D24:I24)</f>
        <v/>
      </c>
      <c r="L24" s="2153" t="n"/>
      <c r="M24" s="2154">
        <f>K24*6*0.75</f>
        <v/>
      </c>
    </row>
    <row r="25" outlineLevel="1" ht="15" customFormat="1" customHeight="1" s="1425">
      <c r="B25" s="2013" t="inlineStr">
        <is>
          <t>Krat 12x75cl - BLANCO</t>
        </is>
      </c>
      <c r="C25" s="2158" t="n"/>
      <c r="D25" s="2150" t="n"/>
      <c r="E25" s="2151" t="n"/>
      <c r="F25" s="2151" t="n"/>
      <c r="G25" s="2151" t="n"/>
      <c r="H25" s="2151" t="n"/>
      <c r="I25" s="2150" t="n"/>
      <c r="J25" s="1521" t="n"/>
      <c r="K25" s="2152">
        <f>SUM(D25:I25)</f>
        <v/>
      </c>
      <c r="L25" s="2153" t="n"/>
      <c r="M25" s="2154">
        <f>K25*12*0.75</f>
        <v/>
      </c>
    </row>
    <row r="26" ht="15" customFormat="1" customHeight="1" s="1425">
      <c r="B26" s="2155" t="n"/>
      <c r="C26" s="1521" t="n"/>
      <c r="D26" s="2156" t="n"/>
      <c r="E26" s="2156" t="n"/>
      <c r="F26" s="2156" t="n"/>
      <c r="G26" s="2156" t="n"/>
      <c r="H26" s="2156" t="n"/>
      <c r="I26" s="2157" t="n"/>
      <c r="J26" s="1521" t="n"/>
      <c r="K26" s="2152">
        <f>'Recept-voorblad'!$M$13</f>
        <v/>
      </c>
      <c r="L26" s="2112" t="n"/>
      <c r="M26" s="2112" t="n"/>
    </row>
    <row r="27" outlineLevel="1" ht="15" customFormat="1" customHeight="1" s="1425">
      <c r="B27" s="2146" t="inlineStr">
        <is>
          <t>AFVUL BLIKKEN</t>
        </is>
      </c>
      <c r="C27" s="2147" t="inlineStr">
        <is>
          <t>Opmerkingen</t>
        </is>
      </c>
      <c r="D27" s="2010" t="inlineStr">
        <is>
          <t>Aantallen</t>
        </is>
      </c>
      <c r="E27" s="2010" t="inlineStr">
        <is>
          <t>Aantallen</t>
        </is>
      </c>
      <c r="F27" s="2010" t="inlineStr">
        <is>
          <t>Aantallen</t>
        </is>
      </c>
      <c r="G27" s="2010" t="inlineStr">
        <is>
          <t>Aantallen</t>
        </is>
      </c>
      <c r="H27" s="2010" t="inlineStr">
        <is>
          <t>Aantallen</t>
        </is>
      </c>
      <c r="I27" s="2010" t="inlineStr">
        <is>
          <t>Aantallen</t>
        </is>
      </c>
      <c r="J27" s="1521" t="n"/>
      <c r="K27" s="2010" t="inlineStr">
        <is>
          <t>TOTALEN</t>
        </is>
      </c>
      <c r="L27" s="1521" t="n"/>
      <c r="M27" s="2010" t="inlineStr">
        <is>
          <t>LITERS</t>
        </is>
      </c>
    </row>
    <row r="28" outlineLevel="1" ht="15" customFormat="1" customHeight="1" s="1425">
      <c r="B28" s="2159" t="inlineStr">
        <is>
          <t>Doos 12x33cl Blik</t>
        </is>
      </c>
      <c r="C28" s="2149">
        <f>Afvullen!C9</f>
        <v/>
      </c>
      <c r="D28" s="2150" t="n"/>
      <c r="E28" s="2151" t="n"/>
      <c r="F28" s="2151" t="n"/>
      <c r="G28" s="2151" t="n"/>
      <c r="H28" s="2151" t="n"/>
      <c r="I28" s="2150" t="n"/>
      <c r="J28" s="1521" t="n"/>
      <c r="K28" s="2152">
        <f>SUM(D28:I28)</f>
        <v/>
      </c>
      <c r="L28" s="2112" t="n"/>
      <c r="M28" s="2154">
        <f>K28*0.33*12</f>
        <v/>
      </c>
    </row>
    <row r="29" outlineLevel="1" ht="15" customFormat="1" customHeight="1" s="1425">
      <c r="B29" s="2159" t="inlineStr">
        <is>
          <t>Doos 24x33cl Blik</t>
        </is>
      </c>
      <c r="C29" s="2149">
        <f>Afvullen!C8</f>
        <v/>
      </c>
      <c r="D29" s="2150" t="n"/>
      <c r="E29" s="2151" t="n"/>
      <c r="F29" s="2151" t="n"/>
      <c r="G29" s="2151" t="n"/>
      <c r="H29" s="2151" t="n"/>
      <c r="I29" s="2150" t="n"/>
      <c r="J29" s="1521" t="n"/>
      <c r="K29" s="2152">
        <f>SUM(D29:I29)</f>
        <v/>
      </c>
      <c r="L29" s="2112" t="n"/>
      <c r="M29" s="2154">
        <f>K29*0.33*24</f>
        <v/>
      </c>
    </row>
    <row r="30" outlineLevel="1" ht="15" customFormat="1" customHeight="1" s="1425">
      <c r="B30" s="2159" t="inlineStr">
        <is>
          <t>Doos 12x44cl Blik</t>
        </is>
      </c>
      <c r="C30" s="2149">
        <f>Afvullen!C9</f>
        <v/>
      </c>
      <c r="D30" s="2150" t="n"/>
      <c r="E30" s="2151" t="n"/>
      <c r="F30" s="2151" t="n"/>
      <c r="G30" s="2151" t="n"/>
      <c r="H30" s="2151" t="n"/>
      <c r="I30" s="2150" t="n"/>
      <c r="J30" s="1521" t="n"/>
      <c r="K30" s="2152">
        <f>SUM(D30:I30)</f>
        <v/>
      </c>
      <c r="L30" s="2112" t="n"/>
      <c r="M30" s="2154">
        <f>K30*0.44*12</f>
        <v/>
      </c>
    </row>
    <row r="31" outlineLevel="1" ht="15" customFormat="1" customHeight="1" s="1425">
      <c r="B31" s="2159" t="inlineStr">
        <is>
          <t>Doos 24x44cl Blik</t>
        </is>
      </c>
      <c r="C31" s="2149">
        <f>Afvullen!C10</f>
        <v/>
      </c>
      <c r="D31" s="2150" t="n"/>
      <c r="E31" s="2151" t="n"/>
      <c r="F31" s="2151" t="n"/>
      <c r="G31" s="2151" t="n"/>
      <c r="H31" s="2151" t="n"/>
      <c r="I31" s="2150" t="n"/>
      <c r="J31" s="1521" t="n"/>
      <c r="K31" s="2152">
        <f>SUM(D31:I31)</f>
        <v/>
      </c>
      <c r="L31" s="2112" t="n"/>
      <c r="M31" s="2154">
        <f>K31*0.44*24</f>
        <v/>
      </c>
    </row>
    <row r="32" outlineLevel="1" ht="15" customFormat="1" customHeight="1" s="1425"/>
    <row r="33" ht="15" customFormat="1" customHeight="1" s="1425">
      <c r="B33" s="2146" t="inlineStr">
        <is>
          <t>AFVUL FUSTEN &amp; KEYKEGS</t>
        </is>
      </c>
      <c r="C33" s="2147" t="inlineStr">
        <is>
          <t>Opmerkingen</t>
        </is>
      </c>
      <c r="D33" s="2010" t="inlineStr">
        <is>
          <t>Aantallen</t>
        </is>
      </c>
      <c r="E33" s="2010" t="inlineStr">
        <is>
          <t>Aantallen</t>
        </is>
      </c>
      <c r="F33" s="2010" t="inlineStr">
        <is>
          <t>Aantallen</t>
        </is>
      </c>
      <c r="G33" s="2010" t="inlineStr">
        <is>
          <t>Aantallen</t>
        </is>
      </c>
      <c r="H33" s="2010" t="inlineStr">
        <is>
          <t>Aantallen</t>
        </is>
      </c>
      <c r="I33" s="2010" t="inlineStr">
        <is>
          <t>Aantallen</t>
        </is>
      </c>
      <c r="J33" s="1521" t="n"/>
      <c r="K33" s="2010" t="inlineStr">
        <is>
          <t>TOTALEN</t>
        </is>
      </c>
      <c r="L33" s="1521" t="n"/>
      <c r="M33" s="2010" t="inlineStr">
        <is>
          <t>LITERS</t>
        </is>
      </c>
    </row>
    <row r="34" outlineLevel="1" ht="15" customFormat="1" customHeight="1" s="1425">
      <c r="B34" s="2013" t="inlineStr">
        <is>
          <t>20L KeyKeg</t>
        </is>
      </c>
      <c r="C34" s="2149" t="n"/>
      <c r="D34" s="2150" t="n"/>
      <c r="E34" s="2151" t="n"/>
      <c r="F34" s="2151" t="n"/>
      <c r="G34" s="2151" t="n"/>
      <c r="H34" s="2151" t="n"/>
      <c r="I34" s="2150" t="n"/>
      <c r="J34" s="1521" t="n"/>
      <c r="K34" s="2152">
        <f>SUM(D34:I34)</f>
        <v/>
      </c>
      <c r="L34" s="2112" t="n"/>
      <c r="M34" s="2154">
        <f>K34*20</f>
        <v/>
      </c>
    </row>
    <row r="35" outlineLevel="1" ht="15" customFormat="1" customHeight="1" s="1425">
      <c r="B35" s="2013" t="inlineStr">
        <is>
          <t>20L KU Fust</t>
        </is>
      </c>
      <c r="C35" s="2149" t="n"/>
      <c r="D35" s="2150" t="n"/>
      <c r="E35" s="2151" t="n"/>
      <c r="F35" s="2151" t="n"/>
      <c r="G35" s="2151" t="n"/>
      <c r="H35" s="2151" t="n"/>
      <c r="I35" s="2150" t="n"/>
      <c r="J35" s="1521" t="n"/>
      <c r="K35" s="2152">
        <f>SUM(D35:I35)</f>
        <v/>
      </c>
      <c r="L35" s="2112" t="n"/>
      <c r="M35" s="2154">
        <f>K35*20</f>
        <v/>
      </c>
    </row>
    <row r="36" outlineLevel="1" ht="15" customFormat="1" customHeight="1" s="1425">
      <c r="B36" s="2013" t="inlineStr">
        <is>
          <t>30L Jopen Fust</t>
        </is>
      </c>
      <c r="C36" s="2158" t="n"/>
      <c r="D36" s="2150" t="n"/>
      <c r="E36" s="2151" t="n"/>
      <c r="F36" s="2151" t="n"/>
      <c r="G36" s="2151" t="n"/>
      <c r="H36" s="2151" t="n"/>
      <c r="I36" s="2150" t="n"/>
      <c r="J36" s="1521" t="n"/>
      <c r="K36" s="2152">
        <f>SUM(D36:I36)</f>
        <v/>
      </c>
      <c r="L36" s="2112" t="n"/>
      <c r="M36" s="2154">
        <f>K36*30</f>
        <v/>
      </c>
    </row>
    <row r="37" outlineLevel="1" ht="15" customFormat="1" customHeight="1" s="1425">
      <c r="B37" s="2013" t="inlineStr">
        <is>
          <t>50L Jopen Fust</t>
        </is>
      </c>
      <c r="C37" s="2149" t="n"/>
      <c r="D37" s="2160" t="n"/>
      <c r="E37" s="2160" t="n"/>
      <c r="F37" s="2160" t="n"/>
      <c r="G37" s="2160" t="n"/>
      <c r="H37" s="2160" t="n"/>
      <c r="I37" s="2161" t="n"/>
      <c r="J37" s="1521" t="n"/>
      <c r="K37" s="2152">
        <f>SUM(D37:I37)</f>
        <v/>
      </c>
      <c r="L37" s="2112" t="n"/>
      <c r="M37" s="2154">
        <f>K37*50</f>
        <v/>
      </c>
    </row>
    <row r="38" ht="15" customFormat="1" customHeight="1" s="1425">
      <c r="B38" s="2162" t="n"/>
      <c r="C38" s="1521" t="n"/>
      <c r="D38" s="2163" t="n"/>
      <c r="E38" s="2163" t="n"/>
      <c r="F38" s="2163" t="n"/>
      <c r="G38" s="2163" t="n"/>
      <c r="H38" s="2163" t="n"/>
      <c r="I38" s="2164" t="n"/>
      <c r="J38" s="1521" t="n"/>
      <c r="K38" s="2152" t="n"/>
      <c r="L38" s="2112" t="n"/>
      <c r="M38" s="2154" t="n"/>
    </row>
    <row r="39" outlineLevel="1" ht="15" customFormat="1" customHeight="1" s="1425">
      <c r="B39" s="2013" t="inlineStr">
        <is>
          <t>20L Gbr. Door Vrouwen fust</t>
        </is>
      </c>
      <c r="C39" s="1521" t="n"/>
      <c r="D39" s="2165" t="n"/>
      <c r="E39" s="2165" t="n"/>
      <c r="F39" s="2165" t="n"/>
      <c r="G39" s="2165" t="n"/>
      <c r="H39" s="2165" t="n"/>
      <c r="I39" s="2166" t="n"/>
      <c r="J39" s="1521" t="n"/>
      <c r="K39" s="2152">
        <f>SUM(D39:I39)</f>
        <v/>
      </c>
      <c r="L39" s="2112" t="n"/>
      <c r="M39" s="2154">
        <f>K39*20</f>
        <v/>
      </c>
    </row>
    <row r="40" outlineLevel="1" ht="15" customFormat="1" customHeight="1" s="1425">
      <c r="B40" s="2013" t="inlineStr">
        <is>
          <t>20L Other kegs</t>
        </is>
      </c>
      <c r="C40" s="1521" t="n"/>
      <c r="D40" s="2151" t="n"/>
      <c r="E40" s="2151" t="n"/>
      <c r="F40" s="2151" t="n"/>
      <c r="G40" s="2151" t="n"/>
      <c r="H40" s="2151" t="n"/>
      <c r="I40" s="2150" t="n"/>
      <c r="J40" s="1521" t="n"/>
      <c r="K40" s="2152">
        <f>SUM(D40:I40)</f>
        <v/>
      </c>
      <c r="L40" s="2112" t="n"/>
      <c r="M40" s="2154">
        <f>K40*20</f>
        <v/>
      </c>
    </row>
    <row r="41" ht="15" customFormat="1" customHeight="1" s="1425">
      <c r="B41" s="2013" t="inlineStr">
        <is>
          <t>30L KeyKeg</t>
        </is>
      </c>
      <c r="C41" s="1521" t="n"/>
      <c r="D41" s="2160" t="n"/>
      <c r="E41" s="2160" t="n"/>
      <c r="F41" s="2160" t="n"/>
      <c r="G41" s="2160" t="n"/>
      <c r="H41" s="2160" t="n"/>
      <c r="I41" s="2161" t="n"/>
      <c r="J41" s="1521" t="n"/>
      <c r="K41" s="2152">
        <f>SUM(D41:I41)</f>
        <v/>
      </c>
      <c r="L41" s="2112" t="n"/>
      <c r="M41" s="2154">
        <f>K41*30</f>
        <v/>
      </c>
    </row>
    <row r="42" ht="15" customFormat="1" customHeight="1" s="1425">
      <c r="B42" s="2168" t="n"/>
      <c r="C42" s="1512" t="n"/>
      <c r="D42" s="2169" t="n"/>
      <c r="E42" s="2169" t="n"/>
      <c r="F42" s="2169" t="n"/>
      <c r="G42" s="2169" t="n"/>
      <c r="H42" s="2169" t="n"/>
      <c r="I42" s="2169" t="n"/>
      <c r="J42" s="2170" t="n"/>
      <c r="K42" s="2171" t="n"/>
      <c r="L42" s="1521" t="n"/>
      <c r="M42" s="1521" t="n"/>
    </row>
    <row r="43" outlineLevel="1" ht="55.5" customFormat="1" customHeight="1" s="1425">
      <c r="B43" s="2172" t="inlineStr">
        <is>
          <t>GEBRUIKT TBV SAMENVOEGEN / BARREL AGING</t>
        </is>
      </c>
      <c r="C43" s="2147" t="inlineStr">
        <is>
          <t>Opmerkingen</t>
        </is>
      </c>
      <c r="D43" s="2010" t="inlineStr">
        <is>
          <t>Liters</t>
        </is>
      </c>
      <c r="E43" s="2010" t="inlineStr">
        <is>
          <t>Liters</t>
        </is>
      </c>
      <c r="F43" s="2010" t="inlineStr">
        <is>
          <t>Liters</t>
        </is>
      </c>
      <c r="G43" s="2010" t="inlineStr">
        <is>
          <t>Liters</t>
        </is>
      </c>
      <c r="H43" s="2010" t="inlineStr">
        <is>
          <t>Liters</t>
        </is>
      </c>
      <c r="I43" s="2010" t="inlineStr">
        <is>
          <t>Liters</t>
        </is>
      </c>
      <c r="J43" s="1521" t="n"/>
      <c r="K43" s="2010" t="inlineStr">
        <is>
          <t>TOTALEN Liters</t>
        </is>
      </c>
      <c r="L43" s="1114" t="n"/>
      <c r="M43" s="1115" t="n"/>
    </row>
    <row r="44" outlineLevel="1" ht="15" customFormat="1" customHeight="1" s="1425">
      <c r="B44" s="2013" t="inlineStr">
        <is>
          <t>TBV BATCH …,</t>
        </is>
      </c>
      <c r="C44" s="2150" t="n"/>
      <c r="D44" s="2150" t="n"/>
      <c r="E44" s="2150" t="n"/>
      <c r="F44" s="2150" t="n"/>
      <c r="G44" s="2150" t="n"/>
      <c r="H44" s="2150" t="n"/>
      <c r="I44" s="2150" t="n"/>
      <c r="J44" s="1521" t="n"/>
      <c r="K44" s="2152">
        <f>SUM(D44:I44)</f>
        <v/>
      </c>
      <c r="L44" s="2112" t="n"/>
      <c r="M44" s="2154">
        <f>K44</f>
        <v/>
      </c>
    </row>
    <row r="45" outlineLevel="1" ht="15" customFormat="1" customHeight="1" s="1425">
      <c r="B45" s="2013" t="inlineStr">
        <is>
          <t>TBV BARREL AGING BATCH…</t>
        </is>
      </c>
      <c r="C45" s="2150" t="n"/>
      <c r="D45" s="2150" t="n"/>
      <c r="E45" s="2150" t="n"/>
      <c r="F45" s="2150" t="n"/>
      <c r="G45" s="2150" t="n"/>
      <c r="H45" s="2150" t="n"/>
      <c r="I45" s="2150" t="n"/>
      <c r="J45" s="1521" t="n"/>
      <c r="K45" s="2152">
        <f>SUM(D45:I45)</f>
        <v/>
      </c>
      <c r="L45" s="2112" t="n"/>
      <c r="M45" s="2154">
        <f>K45</f>
        <v/>
      </c>
    </row>
    <row r="46" outlineLevel="1" ht="15" customFormat="1" customHeight="1" s="1425">
      <c r="B46" s="2013" t="n"/>
      <c r="C46" s="2160" t="n"/>
      <c r="D46" s="2160" t="n"/>
      <c r="E46" s="2161" t="n"/>
      <c r="F46" s="2161" t="n"/>
      <c r="G46" s="2161" t="n"/>
      <c r="H46" s="2161" t="n"/>
      <c r="I46" s="2161" t="n"/>
      <c r="J46" s="1521" t="n"/>
      <c r="K46" s="2152">
        <f>SUM(D46:I46)</f>
        <v/>
      </c>
      <c r="L46" s="2112" t="n"/>
      <c r="M46" s="2112" t="n"/>
    </row>
    <row r="47" ht="15" customHeight="1" s="1339"/>
    <row r="48" ht="23.25" customFormat="1" customHeight="1" s="1425">
      <c r="B48" s="2173" t="inlineStr">
        <is>
          <t>VERBRUIKEN :</t>
        </is>
      </c>
      <c r="C48" s="1114" t="n"/>
      <c r="D48" s="1114" t="n"/>
      <c r="E48" s="1114" t="n"/>
      <c r="F48" s="1114" t="n"/>
      <c r="G48" s="1114" t="n"/>
      <c r="H48" s="1114" t="n"/>
      <c r="I48" s="1115" t="n"/>
      <c r="J48" s="1521" t="n"/>
      <c r="K48" s="2145" t="inlineStr">
        <is>
          <t>UITSCHRIJVEN (-)</t>
        </is>
      </c>
      <c r="L48" s="1114" t="n"/>
      <c r="M48" s="1115" t="n"/>
      <c r="N48" s="1521" t="n"/>
      <c r="O48" s="1521" t="n"/>
      <c r="P48" s="1521" t="n"/>
      <c r="Q48" s="1521" t="n"/>
    </row>
    <row r="49" ht="15" customFormat="1" customHeight="1" s="1425">
      <c r="B49" s="2174" t="inlineStr">
        <is>
          <t>VERBRUIKEN FLES</t>
        </is>
      </c>
      <c r="C49" s="2147" t="inlineStr">
        <is>
          <t>Opmerkingen</t>
        </is>
      </c>
      <c r="D49" s="1137" t="inlineStr">
        <is>
          <t>Aantal</t>
        </is>
      </c>
      <c r="E49" s="1137" t="inlineStr">
        <is>
          <t>Aantal</t>
        </is>
      </c>
      <c r="F49" s="1137" t="inlineStr">
        <is>
          <t>Aantal</t>
        </is>
      </c>
      <c r="G49" s="1137" t="inlineStr">
        <is>
          <t>Aantal</t>
        </is>
      </c>
      <c r="H49" s="1137" t="inlineStr">
        <is>
          <t>Aantal</t>
        </is>
      </c>
      <c r="I49" s="1137" t="inlineStr">
        <is>
          <t>Aantal</t>
        </is>
      </c>
      <c r="J49" s="1521" t="n"/>
      <c r="K49" s="2175" t="inlineStr">
        <is>
          <t>TOTALEN</t>
        </is>
      </c>
      <c r="L49" s="2036" t="n"/>
      <c r="M49" s="2148" t="inlineStr">
        <is>
          <t>VERLIES</t>
        </is>
      </c>
      <c r="N49" s="1521" t="n"/>
      <c r="O49" s="1521" t="n"/>
      <c r="P49" s="1521" t="n"/>
      <c r="Q49" s="1521" t="n"/>
    </row>
    <row r="50" outlineLevel="1" ht="15" customFormat="1" customHeight="1" s="1425">
      <c r="B50" s="2016" t="inlineStr">
        <is>
          <t>Fles 33cl</t>
        </is>
      </c>
      <c r="C50" s="2176" t="n"/>
      <c r="D50" s="2165" t="n"/>
      <c r="E50" s="2166" t="n"/>
      <c r="F50" s="2166" t="n"/>
      <c r="G50" s="2166" t="n"/>
      <c r="H50" s="2166" t="n"/>
      <c r="I50" s="2166" t="n"/>
      <c r="J50" s="1521" t="n"/>
      <c r="K50" s="2152">
        <f>SUM(D50:I50)</f>
        <v/>
      </c>
      <c r="L50" s="2112" t="n"/>
      <c r="M50" s="2177">
        <f>K50-SUM(K17:K18)*24-SUM(K20:K21)*12</f>
        <v/>
      </c>
      <c r="N50" s="1521" t="n"/>
      <c r="O50" s="1521" t="n"/>
      <c r="P50" s="1521" t="n"/>
      <c r="Q50" s="1521" t="n"/>
    </row>
    <row r="51" ht="15" customFormat="1" customHeight="1" s="1425">
      <c r="B51" s="2178" t="n"/>
      <c r="C51" s="2163" t="n"/>
      <c r="D51" s="2163" t="n"/>
      <c r="E51" s="2163" t="n"/>
      <c r="F51" s="2163" t="n"/>
      <c r="G51" s="2163" t="n"/>
      <c r="H51" s="2163" t="n"/>
      <c r="I51" s="2163" t="n"/>
      <c r="J51" s="1521" t="n"/>
      <c r="K51" s="2152" t="n"/>
      <c r="L51" s="2112" t="n"/>
      <c r="M51" s="2177" t="n"/>
      <c r="N51" s="1521" t="n"/>
      <c r="O51" s="1521" t="n"/>
      <c r="P51" s="1521" t="n"/>
      <c r="Q51" s="1521" t="n"/>
    </row>
    <row r="52" outlineLevel="1" ht="15" customFormat="1" customHeight="1" s="1425">
      <c r="B52" s="2016" t="inlineStr">
        <is>
          <t>Stickerlabel 33cl - Main</t>
        </is>
      </c>
      <c r="C52" s="2179" t="n"/>
      <c r="D52" s="2165" t="n"/>
      <c r="E52" s="2166" t="n"/>
      <c r="F52" s="2166" t="n"/>
      <c r="G52" s="2166" t="n"/>
      <c r="H52" s="2166" t="n"/>
      <c r="I52" s="2166" t="n"/>
      <c r="J52" s="1521" t="n"/>
      <c r="K52" s="2152">
        <f>SUM(D52:I52)</f>
        <v/>
      </c>
      <c r="L52" s="2112" t="n"/>
      <c r="M52" s="2177">
        <f>K52-$K$17*24-$K$20*12</f>
        <v/>
      </c>
      <c r="N52" s="1521" t="n"/>
      <c r="O52" s="1521" t="n"/>
      <c r="P52" s="1521" t="n"/>
      <c r="Q52" s="1521" t="n"/>
    </row>
    <row r="53" outlineLevel="1" ht="15" customFormat="1" customHeight="1" s="1425">
      <c r="B53" s="2016" t="inlineStr">
        <is>
          <t>Stickerlabel 33cl - Neck</t>
        </is>
      </c>
      <c r="C53" s="2161" t="n"/>
      <c r="D53" s="2160" t="n"/>
      <c r="E53" s="2161" t="n"/>
      <c r="F53" s="2161" t="n"/>
      <c r="G53" s="2161" t="n"/>
      <c r="H53" s="2161" t="n"/>
      <c r="I53" s="2161" t="n"/>
      <c r="J53" s="1521" t="n"/>
      <c r="K53" s="2152">
        <f>SUM(D53:I53)</f>
        <v/>
      </c>
      <c r="L53" s="2112" t="n"/>
      <c r="M53" s="2177">
        <f>K53-$K$17*24-$K$20*12</f>
        <v/>
      </c>
      <c r="N53" s="1521" t="n"/>
      <c r="O53" s="1521" t="n"/>
      <c r="P53" s="1521" t="n"/>
      <c r="Q53" s="1521" t="n"/>
    </row>
    <row r="54" ht="15" customFormat="1" customHeight="1" s="1425">
      <c r="B54" s="1099" t="n"/>
      <c r="C54" s="2170" t="n"/>
      <c r="D54" s="1521" t="n"/>
      <c r="E54" s="1521" t="n"/>
      <c r="F54" s="1521" t="n"/>
      <c r="G54" s="1521" t="n"/>
      <c r="H54" s="1521" t="n"/>
      <c r="I54" s="1521" t="n"/>
      <c r="J54" s="1521" t="n"/>
      <c r="K54" s="2152" t="n"/>
      <c r="L54" s="2112" t="n"/>
      <c r="M54" s="2177" t="n"/>
      <c r="N54" s="1521" t="n"/>
      <c r="O54" s="1521" t="n"/>
      <c r="P54" s="1521" t="n"/>
      <c r="Q54" s="1521" t="n"/>
    </row>
    <row r="55" outlineLevel="1" ht="15" customFormat="1" customHeight="1" s="1425">
      <c r="B55" s="2016" t="inlineStr">
        <is>
          <t>Omdozen 24x33cl - Bedrukt:</t>
        </is>
      </c>
      <c r="C55" s="2179" t="n"/>
      <c r="D55" s="2165" t="n"/>
      <c r="E55" s="2166" t="n"/>
      <c r="F55" s="2166" t="n"/>
      <c r="G55" s="2166" t="n"/>
      <c r="H55" s="2166" t="n"/>
      <c r="I55" s="2166" t="n"/>
      <c r="J55" s="1521" t="n"/>
      <c r="K55" s="2152">
        <f>SUM(D55:I55)</f>
        <v/>
      </c>
      <c r="L55" s="2112" t="n"/>
      <c r="M55" s="2152">
        <f>K55-K17</f>
        <v/>
      </c>
      <c r="N55" s="1521" t="n"/>
      <c r="O55" s="1521" t="n"/>
      <c r="P55" s="1521" t="n"/>
      <c r="Q55" s="1521" t="n"/>
    </row>
    <row r="56" outlineLevel="1" ht="15" customFormat="1" customHeight="1" s="1425">
      <c r="B56" s="2016" t="inlineStr">
        <is>
          <t>Omdozen 24x33cl - Blanco</t>
        </is>
      </c>
      <c r="C56" s="2180" t="n"/>
      <c r="D56" s="2160" t="n"/>
      <c r="E56" s="2161" t="n"/>
      <c r="F56" s="2161" t="n"/>
      <c r="G56" s="2161" t="n"/>
      <c r="H56" s="2161" t="n"/>
      <c r="I56" s="2161" t="n"/>
      <c r="J56" s="1521" t="n"/>
      <c r="K56" s="2152">
        <f>SUM(D56:I56)</f>
        <v/>
      </c>
      <c r="L56" s="2112" t="n"/>
      <c r="M56" s="2152">
        <f>K56-K18</f>
        <v/>
      </c>
      <c r="N56" s="1521" t="n"/>
      <c r="O56" s="1521" t="n"/>
      <c r="P56" s="1521" t="n"/>
      <c r="Q56" s="1521" t="n"/>
    </row>
    <row r="57" outlineLevel="1" ht="15" customFormat="1" customHeight="1" s="1425">
      <c r="B57" s="1099" t="n"/>
      <c r="C57" s="1521" t="n"/>
      <c r="D57" s="1521" t="n"/>
      <c r="E57" s="1521" t="n"/>
      <c r="F57" s="1521" t="n"/>
      <c r="G57" s="1521" t="n"/>
      <c r="H57" s="1521" t="n"/>
      <c r="I57" s="1521" t="n"/>
      <c r="J57" s="1521" t="n"/>
      <c r="K57" s="2152" t="n"/>
      <c r="L57" s="2112" t="n"/>
      <c r="M57" s="2177" t="n"/>
      <c r="N57" s="1521" t="n"/>
      <c r="O57" s="1521" t="n"/>
      <c r="P57" s="1521" t="n"/>
      <c r="Q57" s="1521" t="n"/>
    </row>
    <row r="58" outlineLevel="1" ht="15" customFormat="1" customHeight="1" s="1425">
      <c r="B58" s="2016" t="inlineStr">
        <is>
          <t>Omdozen 12x33cl - Bedrukt:</t>
        </is>
      </c>
      <c r="C58" s="2179" t="n"/>
      <c r="D58" s="2165" t="n"/>
      <c r="E58" s="2166" t="n"/>
      <c r="F58" s="2166" t="n"/>
      <c r="G58" s="2166" t="n"/>
      <c r="H58" s="2166" t="n"/>
      <c r="I58" s="2166" t="n"/>
      <c r="J58" s="1521" t="n"/>
      <c r="K58" s="2152">
        <f>SUM(D58:I58)</f>
        <v/>
      </c>
      <c r="L58" s="2112" t="n"/>
      <c r="M58" s="2152">
        <f>K58-K20</f>
        <v/>
      </c>
      <c r="N58" s="1521" t="n"/>
      <c r="O58" s="1521" t="n"/>
      <c r="P58" s="1521" t="n"/>
      <c r="Q58" s="1521" t="n"/>
    </row>
    <row r="59" outlineLevel="1" ht="15" customFormat="1" customHeight="1" s="1425">
      <c r="B59" s="2016" t="inlineStr">
        <is>
          <t>Omdozen 12x33cl - Blanco</t>
        </is>
      </c>
      <c r="C59" s="2180" t="n"/>
      <c r="D59" s="2160" t="n"/>
      <c r="E59" s="2161" t="n"/>
      <c r="F59" s="2161" t="n"/>
      <c r="G59" s="2161" t="n"/>
      <c r="H59" s="2161" t="n"/>
      <c r="I59" s="2161" t="n"/>
      <c r="J59" s="1521" t="n"/>
      <c r="K59" s="2152">
        <f>SUM(D59:I59)</f>
        <v/>
      </c>
      <c r="L59" s="2112" t="n"/>
      <c r="M59" s="2152">
        <f>K59-K21</f>
        <v/>
      </c>
      <c r="N59" s="1521" t="n"/>
      <c r="O59" s="1521" t="n"/>
      <c r="P59" s="1521" t="n"/>
      <c r="Q59" s="1521" t="n"/>
    </row>
    <row r="60" outlineLevel="1" ht="15" customFormat="1" customHeight="1" s="1425">
      <c r="B60" s="1099" t="n"/>
      <c r="C60" s="2170" t="n"/>
      <c r="D60" s="1521" t="n"/>
      <c r="E60" s="1521" t="n"/>
      <c r="F60" s="1521" t="n"/>
      <c r="G60" s="1521" t="n"/>
      <c r="H60" s="1521" t="n"/>
      <c r="I60" s="1521" t="n"/>
      <c r="J60" s="1521" t="n"/>
      <c r="K60" s="2152" t="n"/>
      <c r="L60" s="2112" t="n"/>
      <c r="M60" s="2177" t="n"/>
      <c r="N60" s="1521" t="n"/>
      <c r="O60" s="1521" t="n"/>
      <c r="P60" s="1521" t="n"/>
      <c r="Q60" s="1521" t="n"/>
    </row>
    <row r="61" outlineLevel="1" ht="15" customFormat="1" customHeight="1" s="1425">
      <c r="B61" s="2016" t="inlineStr">
        <is>
          <t>Kroonkurk:</t>
        </is>
      </c>
      <c r="C61" s="2181" t="n"/>
      <c r="D61" s="2137" t="n"/>
      <c r="E61" s="2138" t="n"/>
      <c r="F61" s="2138" t="n"/>
      <c r="G61" s="2138" t="n"/>
      <c r="H61" s="2138" t="n"/>
      <c r="I61" s="2138" t="n"/>
      <c r="J61" s="1521" t="n"/>
      <c r="K61" s="2152">
        <f>SUM(D61:I61)</f>
        <v/>
      </c>
      <c r="L61" s="2112" t="n"/>
      <c r="M61" s="2152">
        <f>C61-SUM(K17:K18)*24-SUM(K20:K21)*12</f>
        <v/>
      </c>
      <c r="N61" s="1521" t="n"/>
      <c r="O61" s="1521" t="inlineStr">
        <is>
          <t>Doos á</t>
        </is>
      </c>
      <c r="P61" s="1521" t="n"/>
      <c r="Q61" s="2137" t="n">
        <v>10000</v>
      </c>
      <c r="R61" s="2125">
        <f>K61/Q61</f>
        <v/>
      </c>
    </row>
    <row r="62" ht="15" customFormat="1" customHeight="1" s="1425">
      <c r="B62" s="1099" t="n"/>
      <c r="C62" s="1521" t="n"/>
      <c r="D62" s="1521" t="n"/>
      <c r="E62" s="1521" t="n"/>
      <c r="F62" s="1521" t="n"/>
      <c r="G62" s="1521" t="n"/>
      <c r="H62" s="1521" t="n"/>
      <c r="I62" s="1521" t="n"/>
      <c r="J62" s="1521" t="n"/>
      <c r="K62" s="2152" t="n"/>
      <c r="L62" s="2112" t="n"/>
      <c r="M62" s="2177" t="n"/>
      <c r="N62" s="1521" t="n"/>
      <c r="O62" s="2182" t="inlineStr">
        <is>
          <t>Inhoud doos kan variëren!</t>
        </is>
      </c>
    </row>
    <row r="63" outlineLevel="1" ht="15" customFormat="1" customHeight="1" s="1425">
      <c r="B63" s="2016" t="inlineStr">
        <is>
          <t>Fles 75cl</t>
        </is>
      </c>
      <c r="C63" s="2179" t="n"/>
      <c r="D63" s="2165" t="n"/>
      <c r="E63" s="2166" t="n"/>
      <c r="F63" s="2166" t="n"/>
      <c r="G63" s="2166" t="n"/>
      <c r="H63" s="2166" t="n"/>
      <c r="I63" s="2166" t="n"/>
      <c r="J63" s="1521" t="n"/>
      <c r="K63" s="2152">
        <f>SUM(D63:I63)</f>
        <v/>
      </c>
      <c r="L63" s="2112" t="n"/>
      <c r="M63" s="2177">
        <f>K63-SUM(K23:K24)*6-K25*12</f>
        <v/>
      </c>
      <c r="N63" s="1521" t="n"/>
      <c r="O63" s="1521" t="n"/>
      <c r="P63" s="1521" t="n"/>
      <c r="Q63" s="1521" t="n"/>
    </row>
    <row r="64" outlineLevel="1" ht="15" customFormat="1" customHeight="1" s="1425">
      <c r="B64" s="2016" t="inlineStr">
        <is>
          <t>Stickerlabel 75cl - Main</t>
        </is>
      </c>
      <c r="C64" s="2183" t="n"/>
      <c r="D64" s="2151" t="n"/>
      <c r="E64" s="2150" t="n"/>
      <c r="F64" s="2150" t="n"/>
      <c r="G64" s="2150" t="n"/>
      <c r="H64" s="2150" t="n"/>
      <c r="I64" s="2150" t="n"/>
      <c r="J64" s="1521" t="n"/>
      <c r="K64" s="2152">
        <f>SUM(D64:I64)</f>
        <v/>
      </c>
      <c r="L64" s="2112" t="n"/>
      <c r="M64" s="2177">
        <f>K64-K23*6</f>
        <v/>
      </c>
      <c r="N64" s="1521" t="n"/>
      <c r="O64" s="1521" t="n"/>
      <c r="P64" s="1521" t="n"/>
      <c r="Q64" s="1521" t="n"/>
    </row>
    <row r="65" outlineLevel="1" ht="15" customFormat="1" customHeight="1" s="1425">
      <c r="B65" s="2016" t="inlineStr">
        <is>
          <t>Stickerlabel 75cl - Neck</t>
        </is>
      </c>
      <c r="C65" s="2183" t="n"/>
      <c r="D65" s="2167" t="n"/>
      <c r="E65" s="2184" t="n"/>
      <c r="F65" s="2184" t="n"/>
      <c r="G65" s="2184" t="n"/>
      <c r="H65" s="2184" t="n"/>
      <c r="I65" s="2184" t="n"/>
      <c r="J65" s="1521" t="n"/>
      <c r="K65" s="2152">
        <f>SUM(D65:I65)</f>
        <v/>
      </c>
      <c r="L65" s="2112" t="n"/>
      <c r="M65" s="2177">
        <f>K65-K23*6</f>
        <v/>
      </c>
      <c r="N65" s="1521" t="n"/>
      <c r="O65" s="1521" t="n"/>
      <c r="P65" s="1521" t="n"/>
      <c r="Q65" s="1521" t="n"/>
    </row>
    <row r="66" outlineLevel="1" ht="15" customFormat="1" customHeight="1" s="1425">
      <c r="B66" s="2185" t="n"/>
      <c r="C66" s="2186" t="n"/>
      <c r="D66" s="2187" t="n"/>
      <c r="E66" s="2187" t="n"/>
      <c r="F66" s="2187" t="n"/>
      <c r="G66" s="2187" t="n"/>
      <c r="H66" s="2187" t="n"/>
      <c r="I66" s="2187" t="n"/>
      <c r="J66" s="1521" t="n"/>
      <c r="K66" s="2152" t="n"/>
      <c r="L66" s="2112" t="n"/>
      <c r="M66" s="2177" t="n"/>
      <c r="N66" s="1521" t="n"/>
      <c r="O66" s="1521" t="n"/>
      <c r="P66" s="1521" t="n"/>
      <c r="Q66" s="1521" t="n"/>
    </row>
    <row r="67" outlineLevel="1" ht="15" customFormat="1" customHeight="1" s="1425">
      <c r="B67" s="2016" t="inlineStr">
        <is>
          <t>Omdozen 6x75cl - Bedrukt:</t>
        </is>
      </c>
      <c r="C67" s="2179" t="n"/>
      <c r="D67" s="2165" t="n"/>
      <c r="E67" s="2166" t="n"/>
      <c r="F67" s="2166" t="n"/>
      <c r="G67" s="2166" t="n"/>
      <c r="H67" s="2166" t="n"/>
      <c r="I67" s="2166" t="n"/>
      <c r="J67" s="1521" t="n"/>
      <c r="K67" s="2152">
        <f>SUM(D67:I67)</f>
        <v/>
      </c>
      <c r="L67" s="2112" t="n"/>
      <c r="M67" s="2152">
        <f>K67-K23</f>
        <v/>
      </c>
      <c r="N67" s="1521" t="n"/>
      <c r="O67" s="1521" t="n"/>
      <c r="P67" s="1521" t="n"/>
      <c r="Q67" s="1521" t="n"/>
    </row>
    <row r="68" outlineLevel="1" ht="15" customFormat="1" customHeight="1" s="1425">
      <c r="B68" s="2016" t="inlineStr">
        <is>
          <t>Omdozen 6x75cl - Blanco</t>
        </is>
      </c>
      <c r="C68" s="2188" t="n"/>
      <c r="D68" s="2160" t="n"/>
      <c r="E68" s="2161" t="n"/>
      <c r="F68" s="2161" t="n"/>
      <c r="G68" s="2161" t="n"/>
      <c r="H68" s="2161" t="n"/>
      <c r="I68" s="2161" t="n"/>
      <c r="J68" s="1521" t="n"/>
      <c r="K68" s="2152">
        <f>SUM(D68:I68)</f>
        <v/>
      </c>
      <c r="L68" s="2112" t="n"/>
      <c r="M68" s="2152">
        <f>K68-K24</f>
        <v/>
      </c>
      <c r="N68" s="1521" t="n"/>
      <c r="O68" s="1521" t="n"/>
      <c r="P68" s="1521" t="n"/>
      <c r="Q68" s="1521" t="n"/>
    </row>
    <row r="69" outlineLevel="1" ht="15" customFormat="1" customHeight="1" s="1425">
      <c r="B69" s="1099" t="n"/>
      <c r="C69" s="2170" t="n"/>
      <c r="D69" s="1521" t="n"/>
      <c r="E69" s="1521" t="n"/>
      <c r="F69" s="1521" t="n"/>
      <c r="G69" s="1521" t="n"/>
      <c r="H69" s="1521" t="n"/>
      <c r="I69" s="1521" t="n"/>
      <c r="J69" s="1521" t="n"/>
      <c r="K69" s="2152" t="n"/>
      <c r="L69" s="2112" t="n"/>
      <c r="M69" s="2152" t="n"/>
      <c r="N69" s="1521" t="n"/>
      <c r="O69" s="1521" t="n"/>
      <c r="P69" s="1521" t="n"/>
      <c r="Q69" s="1521" t="n"/>
    </row>
    <row r="70" outlineLevel="1" ht="15" customFormat="1" customHeight="1" s="1425">
      <c r="B70" s="2016" t="inlineStr">
        <is>
          <t>Kurk:</t>
        </is>
      </c>
      <c r="C70" s="2179" t="n"/>
      <c r="D70" s="2165" t="n"/>
      <c r="E70" s="2166" t="n"/>
      <c r="F70" s="2166" t="n"/>
      <c r="G70" s="2166" t="n"/>
      <c r="H70" s="2166" t="n"/>
      <c r="I70" s="2166" t="n"/>
      <c r="J70" s="1521" t="n"/>
      <c r="K70" s="2152">
        <f>SUM(D70:I70)</f>
        <v/>
      </c>
      <c r="L70" s="2112" t="n"/>
      <c r="M70" s="2152">
        <f>K70-SUM(K23:K24)*6-K25*12</f>
        <v/>
      </c>
      <c r="N70" s="1521" t="n"/>
      <c r="O70" s="1521" t="inlineStr">
        <is>
          <t>Doos á</t>
        </is>
      </c>
      <c r="P70" s="1521" t="n"/>
      <c r="Q70" s="2189" t="n">
        <v>2500</v>
      </c>
      <c r="R70" s="2125">
        <f>K70/Q70</f>
        <v/>
      </c>
    </row>
    <row r="71" outlineLevel="1" ht="15" customFormat="1" customHeight="1" s="1425">
      <c r="B71" s="2016" t="inlineStr">
        <is>
          <t>Musseletten:</t>
        </is>
      </c>
      <c r="C71" s="2188" t="n"/>
      <c r="D71" s="2160" t="n"/>
      <c r="E71" s="2161" t="n"/>
      <c r="F71" s="2161" t="n"/>
      <c r="G71" s="2161" t="n"/>
      <c r="H71" s="2161" t="n"/>
      <c r="I71" s="2161" t="n"/>
      <c r="J71" s="2170" t="n"/>
      <c r="K71" s="2152">
        <f>SUM(D71:I71)</f>
        <v/>
      </c>
      <c r="L71" s="2112" t="n"/>
      <c r="M71" s="2152">
        <f>K71-SUM(K23:K24)*6--K25*12</f>
        <v/>
      </c>
      <c r="N71" s="1521" t="n"/>
      <c r="O71" s="1521" t="inlineStr">
        <is>
          <t>Doos á</t>
        </is>
      </c>
      <c r="P71" s="1521" t="n"/>
      <c r="Q71" s="2189" t="n">
        <v>2700</v>
      </c>
      <c r="R71" s="2125">
        <f>K71/Q71</f>
        <v/>
      </c>
    </row>
    <row r="72" ht="15" customFormat="1" customHeight="1" s="1425">
      <c r="B72" s="1099" t="n"/>
      <c r="C72" s="2170" t="n"/>
      <c r="D72" s="1521" t="n"/>
      <c r="E72" s="1521" t="n"/>
      <c r="F72" s="1521" t="n"/>
      <c r="G72" s="1521" t="n"/>
      <c r="H72" s="1521" t="n"/>
      <c r="I72" s="1521" t="n"/>
      <c r="J72" s="1521" t="n"/>
      <c r="K72" s="2190" t="n"/>
      <c r="L72" s="2112" t="n"/>
      <c r="M72" s="2177" t="n"/>
      <c r="N72" s="1521" t="n"/>
      <c r="O72" s="2182">
        <f>O62</f>
        <v/>
      </c>
    </row>
    <row r="73" outlineLevel="1" ht="15" customFormat="1" customHeight="1" s="1425">
      <c r="B73" s="2172" t="inlineStr">
        <is>
          <t>VERBRUIKEN BLIK-artikelen</t>
        </is>
      </c>
      <c r="C73" s="2147" t="inlineStr">
        <is>
          <t>Opmerkingen</t>
        </is>
      </c>
      <c r="D73" s="2010" t="inlineStr">
        <is>
          <t>Aantal</t>
        </is>
      </c>
      <c r="E73" s="2010" t="inlineStr">
        <is>
          <t>Aantal</t>
        </is>
      </c>
      <c r="F73" s="2010" t="inlineStr">
        <is>
          <t>Aantal</t>
        </is>
      </c>
      <c r="G73" s="2010" t="inlineStr">
        <is>
          <t>Aantal</t>
        </is>
      </c>
      <c r="H73" s="2010" t="inlineStr">
        <is>
          <t>Aantal</t>
        </is>
      </c>
      <c r="I73" s="2010" t="inlineStr">
        <is>
          <t>Aantal</t>
        </is>
      </c>
      <c r="J73" s="2112" t="n"/>
      <c r="K73" s="2010" t="inlineStr">
        <is>
          <t>TOTALEN</t>
        </is>
      </c>
      <c r="L73" s="2191" t="n"/>
      <c r="M73" s="2010" t="inlineStr">
        <is>
          <t>VERLIES</t>
        </is>
      </c>
      <c r="N73" s="1521" t="n"/>
      <c r="O73" s="2182" t="n"/>
      <c r="P73" s="2182" t="n"/>
      <c r="Q73" s="2182" t="n"/>
      <c r="R73" s="2182" t="n"/>
    </row>
    <row r="74" outlineLevel="1" ht="15" customFormat="1" customHeight="1" s="1425">
      <c r="B74" s="2192" t="inlineStr">
        <is>
          <t>Blik 33cl</t>
        </is>
      </c>
      <c r="C74" s="2176" t="n"/>
      <c r="D74" s="2193" t="n"/>
      <c r="E74" s="2194" t="n"/>
      <c r="F74" s="2194" t="n"/>
      <c r="G74" s="2194" t="n"/>
      <c r="H74" s="2194" t="n"/>
      <c r="I74" s="2194" t="n"/>
      <c r="J74" s="1521" t="n"/>
      <c r="K74" s="2152">
        <f>SUM(D74:I74)</f>
        <v/>
      </c>
      <c r="L74" s="2112" t="n"/>
      <c r="M74" s="2177">
        <f>K74-(K28*12)</f>
        <v/>
      </c>
      <c r="N74" s="1521" t="n"/>
      <c r="O74" s="2182" t="n"/>
      <c r="P74" s="2182" t="n"/>
      <c r="Q74" s="2182" t="n"/>
      <c r="R74" s="2182" t="n"/>
    </row>
    <row r="75" outlineLevel="1" ht="15" customFormat="1" customHeight="1" s="1425">
      <c r="B75" s="2192" t="inlineStr">
        <is>
          <t>Blik 44cl</t>
        </is>
      </c>
      <c r="C75" s="2195" t="n"/>
      <c r="D75" s="2196" t="n"/>
      <c r="E75" s="2197" t="n"/>
      <c r="F75" s="2197" t="n"/>
      <c r="G75" s="2197" t="n"/>
      <c r="H75" s="2197" t="n"/>
      <c r="I75" s="2197" t="n"/>
      <c r="J75" s="1521" t="n"/>
      <c r="K75" s="2152" t="n"/>
      <c r="L75" s="2112" t="n"/>
      <c r="M75" s="2177">
        <f>K75-(K29*12)</f>
        <v/>
      </c>
      <c r="N75" s="1521" t="n"/>
      <c r="O75" s="2182" t="n"/>
      <c r="P75" s="2182" t="n"/>
      <c r="Q75" s="2182" t="n"/>
      <c r="R75" s="2182" t="n"/>
    </row>
    <row r="76" outlineLevel="1" ht="15" customFormat="1" customHeight="1" s="1425">
      <c r="B76" s="2192" t="inlineStr">
        <is>
          <t>Blik Deksel</t>
        </is>
      </c>
      <c r="C76" s="1615" t="n"/>
      <c r="D76" s="2167" t="n"/>
      <c r="E76" s="2184" t="n"/>
      <c r="F76" s="2184" t="n"/>
      <c r="G76" s="2184" t="n"/>
      <c r="H76" s="2184" t="n"/>
      <c r="I76" s="2184" t="n"/>
      <c r="J76" s="1521" t="n"/>
      <c r="K76" s="2152">
        <f>SUM(D76:I76)</f>
        <v/>
      </c>
      <c r="L76" s="2112" t="n"/>
      <c r="M76" s="2177">
        <f>K76-(K28*12)</f>
        <v/>
      </c>
      <c r="N76" s="1521" t="n"/>
      <c r="O76" s="2182" t="n"/>
      <c r="P76" s="2182" t="n"/>
      <c r="Q76" s="2182" t="n"/>
      <c r="R76" s="2182" t="n"/>
    </row>
    <row r="77" outlineLevel="1" ht="15" customFormat="1" customHeight="1" s="1425">
      <c r="B77" s="2192" t="inlineStr">
        <is>
          <t>Stickerlabel 33cl blik</t>
        </is>
      </c>
      <c r="C77" s="1615" t="n"/>
      <c r="D77" s="2167" t="n"/>
      <c r="E77" s="2184" t="n"/>
      <c r="F77" s="2184" t="n"/>
      <c r="G77" s="2184" t="n"/>
      <c r="H77" s="2184" t="n"/>
      <c r="I77" s="2184" t="n"/>
      <c r="J77" s="1521" t="n"/>
      <c r="K77" s="2152">
        <f>SUM(D77:I77)</f>
        <v/>
      </c>
      <c r="L77" s="2112" t="n"/>
      <c r="M77" s="2177">
        <f>K77-(K28*12)</f>
        <v/>
      </c>
      <c r="N77" s="1521" t="n"/>
      <c r="O77" s="2182" t="n"/>
      <c r="P77" s="2182" t="n"/>
      <c r="Q77" s="2182" t="n"/>
      <c r="R77" s="2182" t="n"/>
    </row>
    <row r="78" outlineLevel="1" ht="15" customFormat="1" customHeight="1" s="1425">
      <c r="B78" s="2192" t="inlineStr">
        <is>
          <t>Stickerlabel 44cl blik</t>
        </is>
      </c>
      <c r="C78" s="1615" t="n"/>
      <c r="D78" s="2167" t="n"/>
      <c r="E78" s="2184" t="n"/>
      <c r="F78" s="2184" t="n"/>
      <c r="G78" s="2184" t="n"/>
      <c r="H78" s="2184" t="n"/>
      <c r="I78" s="2184" t="n"/>
      <c r="J78" s="1521" t="n"/>
      <c r="K78" s="2152" t="n"/>
      <c r="L78" s="2112" t="n"/>
      <c r="M78" s="2177">
        <f>K78-(K29*12)</f>
        <v/>
      </c>
      <c r="N78" s="1521" t="n"/>
      <c r="O78" s="2182" t="n"/>
      <c r="P78" s="2182" t="n"/>
      <c r="Q78" s="2182" t="n"/>
      <c r="R78" s="2182" t="n"/>
    </row>
    <row r="79" outlineLevel="1" ht="15" customFormat="1" customHeight="1" s="1425">
      <c r="B79" s="2192" t="inlineStr">
        <is>
          <t>Omdozen 12x33cl blik - Blanco</t>
        </is>
      </c>
      <c r="C79" s="1615" t="n"/>
      <c r="D79" s="2167" t="n"/>
      <c r="E79" s="2184" t="n"/>
      <c r="F79" s="2184" t="n"/>
      <c r="G79" s="2184" t="n"/>
      <c r="H79" s="2184" t="n"/>
      <c r="I79" s="2184" t="n"/>
      <c r="J79" s="1521" t="n"/>
      <c r="K79" s="2152">
        <f>SUM(D79:I79)</f>
        <v/>
      </c>
      <c r="L79" s="2112" t="n"/>
      <c r="M79" s="2152">
        <f>K79-K28</f>
        <v/>
      </c>
      <c r="N79" s="1521" t="n"/>
      <c r="O79" s="2182" t="n"/>
      <c r="P79" s="2182" t="n"/>
      <c r="Q79" s="2182" t="n"/>
      <c r="R79" s="2182" t="n"/>
    </row>
    <row r="80" outlineLevel="1" ht="15" customFormat="1" customHeight="1" s="1425">
      <c r="B80" s="2192" t="inlineStr">
        <is>
          <t>Omdozen 24x33cl blik - Blanco</t>
        </is>
      </c>
      <c r="C80" s="1615" t="n"/>
      <c r="D80" s="2167" t="n"/>
      <c r="E80" s="2184" t="n"/>
      <c r="F80" s="2184" t="n"/>
      <c r="G80" s="2184" t="n"/>
      <c r="H80" s="2184" t="n"/>
      <c r="I80" s="2184" t="n"/>
      <c r="J80" s="1521" t="n"/>
      <c r="K80" s="2152" t="n"/>
      <c r="L80" s="2112" t="n"/>
      <c r="M80" s="2152">
        <f>K80-K29</f>
        <v/>
      </c>
    </row>
    <row r="81" outlineLevel="1" ht="15" customFormat="1" customHeight="1" s="1425">
      <c r="B81" s="2192" t="inlineStr">
        <is>
          <t>Omdozen 12x44cl blik - Blanco</t>
        </is>
      </c>
      <c r="C81" s="1615" t="n"/>
      <c r="D81" s="2167" t="n"/>
      <c r="E81" s="2184" t="n"/>
      <c r="F81" s="2184" t="n"/>
      <c r="G81" s="2184" t="n"/>
      <c r="H81" s="2184" t="n"/>
      <c r="I81" s="2184" t="n"/>
      <c r="J81" s="1521" t="n"/>
      <c r="K81" s="2152" t="n"/>
      <c r="L81" s="2112" t="n"/>
      <c r="M81" s="2152">
        <f>K81-K30</f>
        <v/>
      </c>
    </row>
    <row r="82" outlineLevel="1" ht="15" customFormat="1" customHeight="1" s="1425">
      <c r="B82" s="2192" t="inlineStr">
        <is>
          <t>Omdozen 24x44cl blik - Blanco</t>
        </is>
      </c>
      <c r="C82" s="1615" t="n"/>
      <c r="D82" s="2167" t="n"/>
      <c r="E82" s="2184" t="n"/>
      <c r="F82" s="2184" t="n"/>
      <c r="G82" s="2184" t="n"/>
      <c r="H82" s="2184" t="n"/>
      <c r="I82" s="2184" t="n"/>
      <c r="J82" s="1521" t="n"/>
      <c r="K82" s="2152" t="n"/>
      <c r="L82" s="2112" t="n"/>
      <c r="M82" s="2152">
        <f>K82-K31</f>
        <v/>
      </c>
    </row>
    <row r="83" outlineLevel="1" ht="15" customFormat="1" customHeight="1" s="1425">
      <c r="B83" s="1099" t="n"/>
      <c r="C83" s="2170" t="n"/>
      <c r="D83" s="1521" t="n"/>
      <c r="E83" s="1521" t="n"/>
      <c r="F83" s="1521" t="n"/>
      <c r="G83" s="1521" t="n"/>
      <c r="H83" s="1521" t="n"/>
      <c r="I83" s="1521" t="n"/>
      <c r="J83" s="1521" t="n"/>
      <c r="K83" s="2190" t="n"/>
      <c r="L83" s="2112" t="n"/>
      <c r="M83" s="2177" t="n"/>
    </row>
    <row r="84" ht="15" customFormat="1" customHeight="1" s="1425">
      <c r="B84" s="2172" t="inlineStr">
        <is>
          <t>VERBRUIKEN FUST-artikelen</t>
        </is>
      </c>
      <c r="C84" s="2147" t="inlineStr">
        <is>
          <t>Opmerkingen</t>
        </is>
      </c>
      <c r="D84" s="2010" t="inlineStr">
        <is>
          <t>Aantal</t>
        </is>
      </c>
      <c r="E84" s="2010" t="inlineStr">
        <is>
          <t>Aantal</t>
        </is>
      </c>
      <c r="F84" s="2010" t="inlineStr">
        <is>
          <t>Aantal</t>
        </is>
      </c>
      <c r="G84" s="2010" t="inlineStr">
        <is>
          <t>Aantal</t>
        </is>
      </c>
      <c r="H84" s="2010" t="inlineStr">
        <is>
          <t>Aantal</t>
        </is>
      </c>
      <c r="I84" s="2010" t="inlineStr">
        <is>
          <t>Aantal</t>
        </is>
      </c>
      <c r="J84" s="2112" t="n"/>
      <c r="K84" s="2010" t="inlineStr">
        <is>
          <t>TOTALEN</t>
        </is>
      </c>
      <c r="L84" s="2191" t="n"/>
      <c r="M84" s="2010" t="inlineStr">
        <is>
          <t>VERLIES</t>
        </is>
      </c>
    </row>
    <row r="85" outlineLevel="1" ht="15" customFormat="1" customHeight="1" s="1425">
      <c r="B85" s="2016" t="inlineStr">
        <is>
          <t xml:space="preserve">Global Keg 20L: </t>
        </is>
      </c>
      <c r="C85" s="2176" t="n"/>
      <c r="D85" s="2193" t="n"/>
      <c r="E85" s="2194" t="n"/>
      <c r="F85" s="2194" t="n"/>
      <c r="G85" s="2194" t="n"/>
      <c r="H85" s="2194" t="n"/>
      <c r="I85" s="2194" t="n"/>
      <c r="J85" s="1521" t="n"/>
      <c r="K85" s="2152">
        <f>SUM(D85:I85)</f>
        <v/>
      </c>
      <c r="L85" s="2112" t="n"/>
      <c r="M85" s="2152">
        <f>K85-K34</f>
        <v/>
      </c>
    </row>
    <row r="86" outlineLevel="1" ht="15" customFormat="1" customHeight="1" s="1425">
      <c r="B86" s="2016" t="inlineStr">
        <is>
          <t xml:space="preserve">Jopen Fust 20L: </t>
        </is>
      </c>
      <c r="C86" s="1615" t="n"/>
      <c r="D86" s="2167" t="n"/>
      <c r="E86" s="2184" t="n"/>
      <c r="F86" s="2184" t="n"/>
      <c r="G86" s="2184" t="n"/>
      <c r="H86" s="2184" t="n"/>
      <c r="I86" s="2184" t="n"/>
      <c r="J86" s="1521" t="n"/>
      <c r="K86" s="2152">
        <f>SUM(D86:I86)</f>
        <v/>
      </c>
      <c r="L86" s="2112" t="n"/>
      <c r="M86" s="2152">
        <f>K86-K35</f>
        <v/>
      </c>
    </row>
    <row r="87" outlineLevel="1" ht="15" customFormat="1" customHeight="1" s="1425">
      <c r="B87" s="2016" t="inlineStr">
        <is>
          <t xml:space="preserve">Jopen Fust 30L: </t>
        </is>
      </c>
      <c r="C87" s="1615" t="n"/>
      <c r="D87" s="2167" t="n"/>
      <c r="E87" s="2184" t="n"/>
      <c r="F87" s="2184" t="n"/>
      <c r="G87" s="2184" t="n"/>
      <c r="H87" s="2184" t="n"/>
      <c r="I87" s="2184" t="n"/>
      <c r="J87" s="2170" t="n"/>
      <c r="K87" s="2152">
        <f>SUM(D87:I87)</f>
        <v/>
      </c>
      <c r="L87" s="2112" t="n"/>
      <c r="M87" s="2152">
        <f>K87-K36</f>
        <v/>
      </c>
    </row>
    <row r="88" outlineLevel="1" ht="15" customFormat="1" customHeight="1" s="1425">
      <c r="B88" s="2016" t="inlineStr">
        <is>
          <t xml:space="preserve">Jopen Fust 50L: </t>
        </is>
      </c>
      <c r="C88" s="1615" t="n"/>
      <c r="D88" s="2167" t="n"/>
      <c r="E88" s="2184" t="n"/>
      <c r="F88" s="2184" t="n"/>
      <c r="G88" s="2184" t="n"/>
      <c r="H88" s="2184" t="n"/>
      <c r="I88" s="2184" t="n"/>
      <c r="J88" s="1521" t="n"/>
      <c r="K88" s="2152">
        <f>SUM(D88:I88)</f>
        <v/>
      </c>
      <c r="L88" s="2112" t="n"/>
      <c r="M88" s="2152">
        <f>K88-K37</f>
        <v/>
      </c>
    </row>
    <row r="89" ht="15" customFormat="1" customHeight="1" s="1425">
      <c r="B89" s="2185" t="n"/>
      <c r="C89" s="2198" t="n"/>
      <c r="D89" s="2156" t="n"/>
      <c r="E89" s="2156" t="n"/>
      <c r="F89" s="2156" t="n"/>
      <c r="G89" s="2156" t="n"/>
      <c r="H89" s="2156" t="n"/>
      <c r="I89" s="2156" t="n"/>
      <c r="J89" s="1521" t="n"/>
      <c r="K89" s="2152" t="n"/>
      <c r="L89" s="2112" t="n"/>
      <c r="M89" s="2152" t="n"/>
    </row>
    <row r="90" outlineLevel="1" ht="15" customFormat="1" customHeight="1" s="1425">
      <c r="B90" s="2016" t="inlineStr">
        <is>
          <t xml:space="preserve">Fustdop: </t>
        </is>
      </c>
      <c r="C90" s="1615" t="n"/>
      <c r="D90" s="2167" t="n"/>
      <c r="E90" s="2184" t="n"/>
      <c r="F90" s="2184" t="n"/>
      <c r="G90" s="2184" t="n"/>
      <c r="H90" s="2184" t="n"/>
      <c r="I90" s="2184" t="n"/>
      <c r="J90" s="1521" t="n"/>
      <c r="K90" s="2152">
        <f>SUM(D90:I90)</f>
        <v/>
      </c>
      <c r="L90" s="2112" t="n"/>
      <c r="M90" s="2152">
        <f>K90-SUM(K34:K37)</f>
        <v/>
      </c>
    </row>
    <row r="91" ht="15" customFormat="1" customHeight="1" s="1425">
      <c r="B91" s="1099" t="n"/>
      <c r="C91" s="2170" t="n"/>
      <c r="D91" s="1521" t="n"/>
      <c r="E91" s="1521" t="n"/>
      <c r="F91" s="1521" t="n"/>
      <c r="G91" s="1521" t="n"/>
      <c r="H91" s="1521" t="n"/>
      <c r="I91" s="1521" t="n"/>
      <c r="J91" s="2170" t="n"/>
      <c r="K91" s="2152" t="n"/>
      <c r="L91" s="2112" t="n"/>
      <c r="M91" s="2152" t="n"/>
    </row>
    <row r="92" outlineLevel="1" ht="15" customFormat="1" customHeight="1" s="1425">
      <c r="B92" s="2199" t="inlineStr">
        <is>
          <t>KeyKegFustdop:</t>
        </is>
      </c>
      <c r="C92" s="2179" t="n"/>
      <c r="D92" s="2193" t="n"/>
      <c r="E92" s="2194" t="n"/>
      <c r="F92" s="2194" t="n"/>
      <c r="G92" s="2194" t="n"/>
      <c r="H92" s="2194" t="n"/>
      <c r="I92" s="2194" t="n"/>
      <c r="J92" s="1521" t="n"/>
      <c r="K92" s="2152">
        <f>SUM(D92:I92)</f>
        <v/>
      </c>
      <c r="L92" s="2112" t="n"/>
      <c r="M92" s="2152">
        <f>K92-K34-K41</f>
        <v/>
      </c>
    </row>
    <row r="93" outlineLevel="1" ht="15" customFormat="1" customHeight="1" s="1425">
      <c r="B93" s="2200" t="inlineStr">
        <is>
          <t>KeyKeg 20L - Leeg</t>
        </is>
      </c>
      <c r="C93" s="2201" t="n"/>
      <c r="D93" s="2202" t="n"/>
      <c r="E93" s="2203" t="n"/>
      <c r="F93" s="2203" t="n"/>
      <c r="G93" s="2203" t="n"/>
      <c r="H93" s="2203" t="n"/>
      <c r="I93" s="2203" t="n"/>
      <c r="J93" s="1521" t="n"/>
      <c r="K93" s="2152">
        <f>SUM(D93:I93)</f>
        <v/>
      </c>
      <c r="L93" s="2112" t="n"/>
      <c r="M93" s="2152">
        <f>K93-K34</f>
        <v/>
      </c>
    </row>
    <row r="94" outlineLevel="1" ht="15" customFormat="1" customHeight="1" s="1425">
      <c r="B94" s="2016" t="inlineStr">
        <is>
          <t>KeyKeg 30L - Leeg</t>
        </is>
      </c>
      <c r="C94" s="2204" t="n"/>
      <c r="D94" s="2160" t="n"/>
      <c r="E94" s="2161" t="n"/>
      <c r="F94" s="2161" t="n"/>
      <c r="G94" s="2161" t="n"/>
      <c r="H94" s="2161" t="n"/>
      <c r="I94" s="2161" t="n"/>
      <c r="J94" s="1521" t="n"/>
      <c r="K94" s="2152">
        <f>SUM(D94:I94)</f>
        <v/>
      </c>
      <c r="L94" s="2112" t="n"/>
      <c r="M94" s="2152">
        <f>K94-K41</f>
        <v/>
      </c>
    </row>
    <row r="95" ht="15" customHeight="1" s="1339"/>
    <row r="96" ht="15" customHeight="1" s="1339"/>
    <row r="97" ht="15" customFormat="1" customHeight="1" s="1425">
      <c r="B97" s="2013" t="inlineStr">
        <is>
          <t>Ingevoerd in Mdrank</t>
        </is>
      </c>
      <c r="C97" s="2026" t="inlineStr">
        <is>
          <t>door:</t>
        </is>
      </c>
      <c r="D97" s="2205" t="n"/>
      <c r="E97" s="1115" t="n"/>
    </row>
    <row r="98" ht="15" customFormat="1" customHeight="1" s="1425">
      <c r="B98" s="2206" t="n"/>
      <c r="C98" s="2026" t="inlineStr">
        <is>
          <t>datum:</t>
        </is>
      </c>
      <c r="D98" s="2215" t="n"/>
      <c r="E98" s="1115" t="n"/>
    </row>
    <row r="99" ht="15" customFormat="1" customHeight="1" s="1425">
      <c r="B99" s="2208" t="inlineStr">
        <is>
          <t>V2,1 : 09-10-17 KYT</t>
        </is>
      </c>
      <c r="C99" s="1521" t="n"/>
    </row>
    <row r="100" ht="15" customFormat="1" customHeight="1" s="1425">
      <c r="B100" s="2208" t="inlineStr">
        <is>
          <t>V2,001 : 02/10/2017 KYT, invoeg MR-Opdracht</t>
        </is>
      </c>
      <c r="C100" s="1521" t="n"/>
    </row>
    <row r="101" ht="15" customFormat="1" customHeight="1" s="1425">
      <c r="B101" s="2208" t="inlineStr">
        <is>
          <t>V2,002 : 22/11/2018 KYT: nav MvdG&amp;JL</t>
        </is>
      </c>
      <c r="C101" s="1521" t="n"/>
    </row>
    <row r="102" ht="15" customFormat="1" customHeight="1" s="1425">
      <c r="B102" s="2208" t="inlineStr">
        <is>
          <t>v3 6/2/24 TW</t>
        </is>
      </c>
      <c r="C102" s="1521" t="n"/>
    </row>
  </sheetData>
  <mergeCells count="26">
    <mergeCell ref="M11:O11"/>
    <mergeCell ref="M10:O10"/>
    <mergeCell ref="M3:M5"/>
    <mergeCell ref="K43:M43"/>
    <mergeCell ref="B3:B4"/>
    <mergeCell ref="B1:I2"/>
    <mergeCell ref="D98:E98"/>
    <mergeCell ref="M13:O13"/>
    <mergeCell ref="C3:E4"/>
    <mergeCell ref="O72:R72"/>
    <mergeCell ref="M12:O12"/>
    <mergeCell ref="Q8:R8"/>
    <mergeCell ref="H3:I4"/>
    <mergeCell ref="M8:O8"/>
    <mergeCell ref="B6:C11"/>
    <mergeCell ref="Q3:R4"/>
    <mergeCell ref="K48:M48"/>
    <mergeCell ref="Q9:R9"/>
    <mergeCell ref="B48:I48"/>
    <mergeCell ref="K15:M15"/>
    <mergeCell ref="O62:R62"/>
    <mergeCell ref="F3:G4"/>
    <mergeCell ref="D97:E97"/>
    <mergeCell ref="M9:O9"/>
    <mergeCell ref="O3:O4"/>
    <mergeCell ref="M1:R1"/>
  </mergeCells>
  <conditionalFormatting sqref="M44:M45">
    <cfRule type="cellIs" rank="0" priority="2" equalAverage="0" operator="greaterThan" aboveAverage="0" dxfId="29" text="" percent="0" bottom="0">
      <formula>0</formula>
    </cfRule>
  </conditionalFormatting>
  <conditionalFormatting sqref="M61">
    <cfRule type="cellIs" rank="0" priority="3" equalAverage="0" operator="equal" aboveAverage="0" dxfId="30" text="" percent="0" bottom="0">
      <formula>0</formula>
    </cfRule>
    <cfRule type="cellIs" rank="0" priority="4" equalAverage="0" operator="greaterThan" aboveAverage="0" dxfId="31" text="" percent="0" bottom="0">
      <formula>0</formula>
    </cfRule>
    <cfRule type="cellIs" rank="0" priority="5" equalAverage="0" operator="lessThan" aboveAverage="0" dxfId="12" text="" percent="0" bottom="0">
      <formula>0</formula>
    </cfRule>
  </conditionalFormatting>
  <conditionalFormatting sqref="M28:M31">
    <cfRule type="cellIs" rank="0" priority="6" equalAverage="0" operator="greaterThan" aboveAverage="0" dxfId="32" text="" percent="0" bottom="0">
      <formula>0</formula>
    </cfRule>
  </conditionalFormatting>
  <conditionalFormatting sqref="K28">
    <cfRule type="cellIs" rank="0" priority="7" equalAverage="0" operator="greaterThan" aboveAverage="0" dxfId="8" text="" percent="0" bottom="0">
      <formula>0</formula>
    </cfRule>
  </conditionalFormatting>
  <conditionalFormatting sqref="K79:K82">
    <cfRule type="cellIs" rank="0" priority="8" equalAverage="0" operator="greaterThan" aboveAverage="0" dxfId="33" text="" percent="0" bottom="0">
      <formula>0</formula>
    </cfRule>
  </conditionalFormatting>
  <conditionalFormatting sqref="K77:K78">
    <cfRule type="cellIs" rank="0" priority="9" equalAverage="0" operator="greaterThan" aboveAverage="0" dxfId="33" text="" percent="0" bottom="0">
      <formula>0</formula>
    </cfRule>
  </conditionalFormatting>
  <conditionalFormatting sqref="K76">
    <cfRule type="cellIs" rank="0" priority="10" equalAverage="0" operator="greaterThan" aboveAverage="0" dxfId="33" text="" percent="0" bottom="0">
      <formula>0</formula>
    </cfRule>
  </conditionalFormatting>
  <conditionalFormatting sqref="K74:K75">
    <cfRule type="cellIs" rank="0" priority="11" equalAverage="0" operator="greaterThan" aboveAverage="0" dxfId="33" text="" percent="0" bottom="0">
      <formula>0</formula>
    </cfRule>
  </conditionalFormatting>
  <conditionalFormatting sqref="M73">
    <cfRule type="cellIs" rank="0" priority="12" equalAverage="0" operator="lessThan" aboveAverage="0" dxfId="12" text="" percent="0" bottom="0">
      <formula>0</formula>
    </cfRule>
  </conditionalFormatting>
  <conditionalFormatting sqref="K73">
    <cfRule type="cellIs" rank="0" priority="13" equalAverage="0" operator="lessThan" aboveAverage="0" dxfId="12" text="" percent="0" bottom="0">
      <formula>0</formula>
    </cfRule>
  </conditionalFormatting>
  <conditionalFormatting sqref="M74:M82">
    <cfRule type="cellIs" rank="0" priority="14" equalAverage="0" operator="equal" aboveAverage="0" dxfId="30" text="" percent="0" bottom="0">
      <formula>0</formula>
    </cfRule>
    <cfRule type="cellIs" rank="0" priority="15" equalAverage="0" operator="greaterThan" aboveAverage="0" dxfId="31" text="" percent="0" bottom="0">
      <formula>0</formula>
    </cfRule>
    <cfRule type="cellIs" rank="0" priority="16" equalAverage="0" operator="lessThan" aboveAverage="0" dxfId="12" text="" percent="0" bottom="0">
      <formula>0</formula>
    </cfRule>
  </conditionalFormatting>
  <conditionalFormatting sqref="M86">
    <cfRule type="cellIs" rank="0" priority="17" equalAverage="0" operator="equal" aboveAverage="0" dxfId="30" text="" percent="0" bottom="0">
      <formula>0</formula>
    </cfRule>
    <cfRule type="cellIs" rank="0" priority="18" equalAverage="0" operator="greaterThan" aboveAverage="0" dxfId="31" text="" percent="0" bottom="0">
      <formula>0</formula>
    </cfRule>
    <cfRule type="cellIs" rank="0" priority="19" equalAverage="0" operator="lessThan" aboveAverage="0" dxfId="12" text="" percent="0" bottom="0">
      <formula>0</formula>
    </cfRule>
  </conditionalFormatting>
  <conditionalFormatting sqref="K86">
    <cfRule type="cellIs" rank="0" priority="20" equalAverage="0" operator="greaterThan" aboveAverage="0" dxfId="8" text="" percent="0" bottom="0">
      <formula>0</formula>
    </cfRule>
  </conditionalFormatting>
  <conditionalFormatting sqref="M87">
    <cfRule type="cellIs" rank="0" priority="21" equalAverage="0" operator="equal" aboveAverage="0" dxfId="30" text="" percent="0" bottom="0">
      <formula>0</formula>
    </cfRule>
    <cfRule type="cellIs" rank="0" priority="22" equalAverage="0" operator="greaterThan" aboveAverage="0" dxfId="31" text="" percent="0" bottom="0">
      <formula>0</formula>
    </cfRule>
    <cfRule type="cellIs" rank="0" priority="23" equalAverage="0" operator="lessThan" aboveAverage="0" dxfId="12" text="" percent="0" bottom="0">
      <formula>0</formula>
    </cfRule>
  </conditionalFormatting>
  <conditionalFormatting sqref="K87">
    <cfRule type="cellIs" rank="0" priority="24" equalAverage="0" operator="greaterThan" aboveAverage="0" dxfId="8" text="" percent="0" bottom="0">
      <formula>0</formula>
    </cfRule>
  </conditionalFormatting>
  <conditionalFormatting sqref="M88:M89">
    <cfRule type="cellIs" rank="0" priority="25" equalAverage="0" operator="equal" aboveAverage="0" dxfId="30" text="" percent="0" bottom="0">
      <formula>0</formula>
    </cfRule>
    <cfRule type="cellIs" rank="0" priority="26" equalAverage="0" operator="greaterThan" aboveAverage="0" dxfId="31" text="" percent="0" bottom="0">
      <formula>0</formula>
    </cfRule>
    <cfRule type="cellIs" rank="0" priority="27" equalAverage="0" operator="lessThan" aboveAverage="0" dxfId="12" text="" percent="0" bottom="0">
      <formula>0</formula>
    </cfRule>
  </conditionalFormatting>
  <conditionalFormatting sqref="K88:K89">
    <cfRule type="cellIs" rank="0" priority="28" equalAverage="0" operator="greaterThan" aboveAverage="0" dxfId="8" text="" percent="0" bottom="0">
      <formula>0</formula>
    </cfRule>
  </conditionalFormatting>
  <conditionalFormatting sqref="M35">
    <cfRule type="cellIs" rank="0" priority="29" equalAverage="0" operator="greaterThan" aboveAverage="0" dxfId="29" text="" percent="0" bottom="0">
      <formula>0</formula>
    </cfRule>
  </conditionalFormatting>
  <conditionalFormatting sqref="M85">
    <cfRule type="cellIs" rank="0" priority="30" equalAverage="0" operator="equal" aboveAverage="0" dxfId="30" text="" percent="0" bottom="0">
      <formula>0</formula>
    </cfRule>
    <cfRule type="cellIs" rank="0" priority="31" equalAverage="0" operator="greaterThan" aboveAverage="0" dxfId="31" text="" percent="0" bottom="0">
      <formula>0</formula>
    </cfRule>
    <cfRule type="cellIs" rank="0" priority="32" equalAverage="0" operator="lessThan" aboveAverage="0" dxfId="12" text="" percent="0" bottom="0">
      <formula>0</formula>
    </cfRule>
  </conditionalFormatting>
  <conditionalFormatting sqref="K85">
    <cfRule type="cellIs" rank="0" priority="33" equalAverage="0" operator="greaterThan" aboveAverage="0" dxfId="8" text="" percent="0" bottom="0">
      <formula>0</formula>
    </cfRule>
  </conditionalFormatting>
  <conditionalFormatting sqref="M84">
    <cfRule type="cellIs" rank="0" priority="34" equalAverage="0" operator="lessThan" aboveAverage="0" dxfId="12" text="" percent="0" bottom="0">
      <formula>0</formula>
    </cfRule>
  </conditionalFormatting>
  <conditionalFormatting sqref="M34 M36:M41">
    <cfRule type="cellIs" rank="0" priority="35" equalAverage="0" operator="greaterThan" aboveAverage="0" dxfId="29" text="" percent="0" bottom="0">
      <formula>0</formula>
    </cfRule>
  </conditionalFormatting>
  <conditionalFormatting sqref="M50:M60 M62:M72 M83 M90:M95">
    <cfRule type="cellIs" rank="0" priority="36" equalAverage="0" operator="equal" aboveAverage="0" dxfId="30" text="" percent="0" bottom="0">
      <formula>0</formula>
    </cfRule>
    <cfRule type="cellIs" rank="0" priority="37" equalAverage="0" operator="greaterThan" aboveAverage="0" dxfId="31" text="" percent="0" bottom="0">
      <formula>0</formula>
    </cfRule>
    <cfRule type="cellIs" rank="0" priority="38" equalAverage="0" operator="lessThan" aboveAverage="0" dxfId="12" text="" percent="0" bottom="0">
      <formula>0</formula>
    </cfRule>
  </conditionalFormatting>
  <conditionalFormatting sqref="M17:M25">
    <cfRule type="cellIs" rank="0" priority="39" equalAverage="0" operator="greaterThan" aboveAverage="0" dxfId="32" text="" percent="0" bottom="0">
      <formula>0</formula>
    </cfRule>
  </conditionalFormatting>
  <conditionalFormatting sqref="K84">
    <cfRule type="cellIs" rank="0" priority="40" equalAverage="0" operator="lessThan" aboveAverage="0" dxfId="12" text="" percent="0" bottom="0">
      <formula>0</formula>
    </cfRule>
  </conditionalFormatting>
  <conditionalFormatting sqref="K50:K53 K55:K56 K58:K59 K63:K65 K67:K69">
    <cfRule type="cellIs" rank="0" priority="41" equalAverage="0" operator="greaterThan" aboveAverage="0" dxfId="33" text="" percent="0" bottom="0">
      <formula>0</formula>
    </cfRule>
  </conditionalFormatting>
  <conditionalFormatting sqref="K17:K18 K20:K21 K23:K25 K34:K41 K44:K46 K90:K95 R61 R70:R71">
    <cfRule type="cellIs" rank="0" priority="42" equalAverage="0" operator="greaterThan" aboveAverage="0" dxfId="8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Juriaan Jansen</dc:creator>
  <dc:language xmlns:dc="http://purl.org/dc/elements/1.1/">en-US</dc:language>
  <dcterms:created xmlns:dcterms="http://purl.org/dc/terms/" xmlns:xsi="http://www.w3.org/2001/XMLSchema-instance" xsi:type="dcterms:W3CDTF">2022-03-04T09:25:26Z</dcterms:created>
  <dcterms:modified xmlns:dcterms="http://purl.org/dc/terms/" xmlns:xsi="http://www.w3.org/2001/XMLSchema-instance" xsi:type="dcterms:W3CDTF">2026-07-29T12:27:35Z</dcterms:modified>
  <cp:revision>2</cp:revision>
  <cp:lastPrinted>2026-07-21T10:52:16Z</cp:lastPrinted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0x01010087AAB0E9BA7F4247AD8C5E54CF10AABF</vt:lpwstr>
  </property>
  <property name="MediaServiceImageTags" fmtid="{D5CDD505-2E9C-101B-9397-08002B2CF9AE}" pid="4">
    <vt:lpwstr xmlns:vt="http://schemas.openxmlformats.org/officeDocument/2006/docPropsVTypes"/>
  </property>
  <property name="TriggerFlowInfo" fmtid="{D5CDD505-2E9C-101B-9397-08002B2CF9AE}" pid="5">
    <vt:lpwstr xmlns:vt="http://schemas.openxmlformats.org/officeDocument/2006/docPropsVTypes"/>
  </property>
  <property name="_ExtendedDescription" fmtid="{D5CDD505-2E9C-101B-9397-08002B2CF9AE}" pid="6">
    <vt:lpwstr xmlns:vt="http://schemas.openxmlformats.org/officeDocument/2006/docPropsVTypes"/>
  </property>
</Properties>
</file>