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ipe Sheet" sheetId="1" state="visible" r:id="rId1"/>
    <sheet xmlns:r="http://schemas.openxmlformats.org/officeDocument/2006/relationships" name="Brew Sheet" sheetId="2" state="visible" r:id="rId2"/>
    <sheet xmlns:r="http://schemas.openxmlformats.org/officeDocument/2006/relationships" name="Fermentation Chart" sheetId="3" state="visible" r:id="rId3"/>
    <sheet xmlns:r="http://schemas.openxmlformats.org/officeDocument/2006/relationships" name="Processing" sheetId="4" state="visible" r:id="rId4"/>
    <sheet xmlns:r="http://schemas.openxmlformats.org/officeDocument/2006/relationships" name="Filling" sheetId="5" state="visible" r:id="rId5"/>
    <sheet xmlns:r="http://schemas.openxmlformats.org/officeDocument/2006/relationships" name="Filling Report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'Recipe Sheet'!$A$1:$P$107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16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71" fontId="13" fillId="4" borderId="1" applyAlignment="1" applyProtection="1" pivotButton="0" quotePrefix="0" xfId="0">
      <alignment horizontal="center" vertical="center"/>
      <protection locked="0" hidden="0"/>
    </xf>
    <xf numFmtId="171" fontId="4" fillId="4" borderId="11" applyAlignment="1" applyProtection="1" pivotButton="0" quotePrefix="0" xfId="0">
      <alignment horizontal="center" vertical="center"/>
      <protection locked="0" hidden="0"/>
    </xf>
    <xf numFmtId="171" fontId="4" fillId="4" borderId="15" applyAlignment="1" pivotButton="0" quotePrefix="0" xfId="0">
      <alignment horizontal="center" vertical="bottom"/>
    </xf>
    <xf numFmtId="171" fontId="44" fillId="2" borderId="3" applyAlignment="1" pivotButton="0" quotePrefix="0" xfId="0">
      <alignment horizontal="center" vertical="center"/>
    </xf>
    <xf numFmtId="171" fontId="47" fillId="0" borderId="73" applyAlignment="1" pivotButton="0" quotePrefix="0" xfId="0">
      <alignment horizontal="center" vertical="center"/>
    </xf>
    <xf numFmtId="171" fontId="4" fillId="2" borderId="0" applyAlignment="1" applyProtection="1" pivotButton="0" quotePrefix="0" xfId="0">
      <alignment horizontal="general" vertical="center"/>
      <protection locked="0" hidden="0"/>
    </xf>
    <xf numFmtId="171" fontId="20" fillId="19" borderId="1" applyAlignment="1" pivotButton="0" quotePrefix="0" xfId="0">
      <alignment horizontal="center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 xml:space="preserve">Recipe Sheet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 xml:space="preserve">Beer name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 xml:space="preserve">Batch No.: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 xml:space="preserve">Brewery name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 xml:space="preserve">Beer style</t>
        </is>
      </c>
      <c r="B7" s="1076" t="n"/>
      <c r="C7" s="1101" t="n"/>
      <c r="D7" s="1076" t="n"/>
      <c r="E7" s="1102" t="inlineStr">
        <is>
          <t xml:space="preserve">Number of brews</t>
        </is>
      </c>
      <c r="F7" s="1076" t="n"/>
      <c r="G7" s="1103" t="n">
        <v>1</v>
      </c>
      <c r="H7" s="1104" t="inlineStr">
        <is>
          <t xml:space="preserve">Date order picked:</t>
        </is>
      </c>
      <c r="I7" s="1075" t="n"/>
      <c r="J7" s="1076" t="n"/>
      <c r="K7" s="2209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 xml:space="preserve">Brew size (hl)</t>
        </is>
      </c>
      <c r="B9" s="1076" t="n"/>
      <c r="C9" s="1110" t="n"/>
      <c r="D9" s="1076" t="n"/>
      <c r="E9" s="1111">
        <f>IF(LEFT(Q1,2)="WP", "Mash Filter Chambers","Roller Mill Setting")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 xml:space="preserve">End Product Specifications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 xml:space="preserve">Spec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 xml:space="preserve">Spec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 xml:space="preserve">Original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 xml:space="preserve">Turbidity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 xml:space="preserve">Final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 xml:space="preserve">CO2 bottle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 xml:space="preserve"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 xml:space="preserve">Bitterness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 xml:space="preserve">CO2 keg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 xml:space="preserve">Colour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 xml:space="preserve">Beer Risk Category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 xml:space="preserve">Process Parameters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 xml:space="preserve">Spec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 xml:space="preserve">Spec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Temp","Wort Cooling Temp")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 xml:space="preserve">Fermentation Time</t>
        </is>
      </c>
      <c r="H21" s="1075" t="n"/>
      <c r="I21" s="1075" t="n"/>
      <c r="J21" s="1076" t="n"/>
      <c r="K21" s="1120" t="inlineStr">
        <is>
          <t xml:space="preserve">days</t>
        </is>
      </c>
      <c r="L21" s="1151" t="n"/>
      <c r="M21" s="1124" t="n"/>
      <c r="N21" s="1137" t="inlineStr">
        <is>
          <t xml:space="preserve">Beer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</t>
        </is>
      </c>
      <c r="D22" s="1126" t="inlineStr">
        <is>
          <t>°C</t>
        </is>
      </c>
      <c r="E22" s="1121" t="n"/>
      <c r="F22" s="1127" t="n"/>
      <c r="G22" s="1136" t="inlineStr">
        <is>
          <t xml:space="preserve">Lagering Time</t>
        </is>
      </c>
      <c r="H22" s="1136" t="n"/>
      <c r="I22" s="1136" t="n"/>
      <c r="J22" s="1128" t="n"/>
      <c r="K22" s="1126" t="inlineStr">
        <is>
          <t xml:space="preserve">days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 xml:space="preserve">Temp Release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 xml:space="preserve">Lagering Temp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 xml:space="preserve">Temp Warm Dry Hop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 xml:space="preserve">Pasteurisation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 xml:space="preserve">Extract Warm Dry Hop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 xml:space="preserve">Turbidity After Centrifuge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 xml:space="preserve">Extract Warm Dry Hop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 xml:space="preserve">Bitterness Brewhouse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 xml:space="preserve">Extract Warm Dry Hop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 xml:space="preserve">Type of malt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 xml:space="preserve">Lot Number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 xml:space="preserve">Total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 xml:space="preserve">Total kg: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 xml:space="preserve">Calculated Colour: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 xml:space="preserve">Hop Variety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 xml:space="preserve">Boiling Time</t>
        </is>
      </c>
      <c r="H42" s="1083" t="n"/>
      <c r="I42" s="1218" t="inlineStr">
        <is>
          <t xml:space="preserve">Utilisation</t>
        </is>
      </c>
      <c r="J42" s="1115" t="n"/>
      <c r="K42" s="1219" t="inlineStr">
        <is>
          <t xml:space="preserve">EBU </t>
        </is>
      </c>
      <c r="L42" s="1082" t="inlineStr">
        <is>
          <t xml:space="preserve">Lot Number</t>
        </is>
      </c>
      <c r="M42" s="1080" t="n"/>
      <c r="N42" s="1080" t="n"/>
      <c r="O42" s="1081" t="n"/>
      <c r="P42" s="1220" t="inlineStr">
        <is>
          <t xml:space="preserve">Total Grams: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IFERROR(IF(E43="-","",(E43*1000)*(D43/100)*(I43/100)/(IF('Brew Sheet'!$F$16*100="-",$C$9*100,'Brew Sheet'!$F$16*100))),"")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IFERROR(IF(E44="-","",(E44*1000)*(D44/100)*(I44/100)/(IF('Brew Sheet'!$F$16*100="-",$C$9*100,'Brew Sheet'!$F$16*100))),"")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IFERROR(IF(E45="-","",(E45*1000)*(D45/100)*(I45/100)/(IF('Brew Sheet'!$F$16*100="-",$C$9*100,'Brew Sheet'!$F$16*100))),"")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IFERROR(IF(E46="-","",(E46*1000)*(D46/100)*(I46/100)/(IF('Brew Sheet'!$F$16*100="-",$C$9*100,'Brew Sheet'!$F$16*100))),"")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IFERROR(IF(E47="-","",(E47*1000)*(D47/100)*(I47/100)/(IF('Brew Sheet'!$F$16*100="-",$C$9*100,'Brew Sheet'!$F$16*100))),"")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IFERROR(IF(E48="-","",(E48*1000)*(D48/100)*(I48/100)/(IF('Brew Sheet'!$F$16*100="-",$C$9*100,'Brew Sheet'!$F$16*100))),"")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IFERROR(IF(E49="-","",(E49*1000)*(D49/100)*(I49/100)/(IF('Brew Sheet'!$F$16*100="-",$C$9*100,'Brew Sheet'!$F$16*100))),"")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IFERROR(IF(E50="-","",(E50*1000)*(D50/100)*(I50/100)/(IF('Brew Sheet'!$F$16*100="-",$C$9*100,'Brew Sheet'!$F$16*100))),"")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IFERROR(IF(E51="-","",(E51*1000)*(D51/100)*(I51/100)/(IF('Brew Sheet'!$F$16*100="-",$C$9*100,'Brew Sheet'!$F$16*100))),"")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IFERROR(IF(E52="-","",(E52*1000)*(D52/100)*(I52/100)/(IF('Brew Sheet'!$F$16*100="-",$C$9*100,'Brew Sheet'!$F$16*100))),"")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IFERROR(IF(E53="-","",(E53*1000)*(D53/100)*(I53/100)/(IF('Brew Sheet'!$F$16*100="-",$C$9*100,'Brew Sheet'!$F$16*100))),"")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IFERROR(IF(E54="-","",(E54*1000)*(D54/100)*(I54/100)/(IF('Brew Sheet'!$F$16*100="-",$C$9*100,'Brew Sheet'!$F$16*100))),"")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IFERROR(IF(E55="-","",(E55*1000)*(D55/100)*(I55/100)/(IF('Brew Sheet'!$F$16*100="-",$C$9*100,'Brew Sheet'!$F$16*100))),"")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IFERROR(IF(E56="-","",(E56*1000)*(D56/100)*(I56/100)/(IF('Brew Sheet'!$F$16*100="-",$C$9*100,'Brew Sheet'!$F$16*100))),"")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IFERROR(IF(E57="-","",(E57*1000)*(D57/100)*(I57/100)/(IF('Brew Sheet'!$F$16*100="-",$C$9*100,'Brew Sheet'!$F$16*100))),"")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IF(G58="warm",SUMIF(G58:I60,"warm",E58:F60)/($C$9*100),SUMIF(G58:I60,"Cold*",E58:F60)/($C$9*100))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IF(G61="warm",SUMIF(G61:I63,"warm",E61:F63)/($C$9*100),SUMIF(G61:I63,"Cold*",E61:F63)/($C$9*100))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 xml:space="preserve">Total Bitterness: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 xml:space="preserve">Total kg Hops: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 xml:space="preserve">Total Hop Weight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 xml:space="preserve">Hop Variety</t>
        </is>
      </c>
      <c r="B66" s="1075" t="n"/>
      <c r="C66" s="1075" t="n"/>
      <c r="D66" s="1076" t="n"/>
      <c r="E66" s="1276" t="inlineStr">
        <is>
          <t xml:space="preserve">Total Grams</t>
        </is>
      </c>
      <c r="F66" s="1075" t="n"/>
      <c r="G66" s="1075" t="n"/>
      <c r="H66" s="1076" t="n"/>
      <c r="I66" s="1276" t="inlineStr">
        <is>
          <t xml:space="preserve">Hop Variety</t>
        </is>
      </c>
      <c r="J66" s="1075" t="n"/>
      <c r="K66" s="1075" t="n"/>
      <c r="L66" s="1076" t="n"/>
      <c r="M66" s="1276" t="inlineStr">
        <is>
          <t xml:space="preserve">Total Grams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 xml:space="preserve">Type Of Addition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 xml:space="preserve">Addition Moment</t>
        </is>
      </c>
      <c r="J74" s="1114" t="n"/>
      <c r="K74" s="1115" t="n"/>
      <c r="L74" s="1288" t="inlineStr">
        <is>
          <t xml:space="preserve">Lot Number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 xml:space="preserve">Yeast Strain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 xml:space="preserve">Amount Per Batch</t>
        </is>
      </c>
      <c r="H86" s="1114" t="n"/>
      <c r="I86" s="1114" t="n"/>
      <c r="J86" s="1114" t="n"/>
      <c r="K86" s="1115" t="n"/>
      <c r="L86" s="1299" t="inlineStr">
        <is>
          <t xml:space="preserve">Lot Number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 xml:space="preserve">Type Of Addition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 xml:space="preserve">Addition Moment</t>
        </is>
      </c>
      <c r="J90" s="1114" t="n"/>
      <c r="K90" s="1115" t="n"/>
      <c r="L90" s="1288" t="inlineStr">
        <is>
          <t xml:space="preserve">Lot Number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 xml:space="preserve">Revision Number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 xml:space="preserve">Revision Number</t>
        </is>
      </c>
      <c r="B102" s="1114" t="n"/>
      <c r="C102" s="1115" t="n"/>
      <c r="D102" s="1332" t="inlineStr">
        <is>
          <t xml:space="preserve">Change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 xml:space="preserve">Date</t>
        </is>
      </c>
      <c r="O102" s="1114" t="n"/>
      <c r="P102" s="1334" t="inlineStr">
        <is>
          <t xml:space="preserve">Initials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Cold" percent="0" bottom="0">
      <formula>NOT(ISERROR(SEARCH("Cold",G62)))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Cold" percent="0" bottom="0">
      <formula>NOT(ISERROR(SEARCH("Cold",G61)))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Cold" percent="0" bottom="0">
      <formula>NOT(ISERROR(SEARCH("Cold",G59)))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Cold" percent="0" bottom="0">
      <formula>NOT(ISERROR(SEARCH("Cold",G58)))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'Recipe Sheet'!Q1</f>
        <v/>
      </c>
      <c r="B1" s="1083" t="n"/>
      <c r="C1" s="1350" t="inlineStr">
        <is>
          <t xml:space="preserve">Brewing Specifications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 xml:space="preserve">Beer Status</t>
        </is>
      </c>
      <c r="Q1" s="1315" t="n"/>
      <c r="R1" s="1316" t="n"/>
      <c r="S1" s="1352" t="inlineStr">
        <is>
          <t xml:space="preserve">Brewing data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'Recipe Sheet'!N23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 xml:space="preserve">Beer Name</t>
        </is>
      </c>
      <c r="E3" s="1355">
        <f>'Recipe Sheet'!C3</f>
        <v/>
      </c>
      <c r="F3" s="1075" t="n"/>
      <c r="G3" s="1075" t="n"/>
      <c r="H3" s="1075" t="n"/>
      <c r="I3" s="1075" t="n"/>
      <c r="J3" s="1076" t="n"/>
      <c r="K3" s="1356" t="inlineStr">
        <is>
          <t xml:space="preserve">Batch No.</t>
        </is>
      </c>
      <c r="M3" s="1083" t="n"/>
      <c r="N3" s="1357">
        <f>'Recipe Sheet'!K3</f>
        <v/>
      </c>
      <c r="O3" s="1083" t="n"/>
      <c r="P3" s="1358" t="inlineStr">
        <is>
          <t xml:space="preserve">Brew Number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 xml:space="preserve">Order No.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 xml:space="preserve">Beer Style</t>
        </is>
      </c>
      <c r="E5" s="1364">
        <f>'Recipe Sheet'!C7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 xml:space="preserve">Date Of 1st Brew</t>
        </is>
      </c>
      <c r="L5" s="1075" t="n"/>
      <c r="M5" s="1076" t="n"/>
      <c r="N5" s="2210" t="n"/>
      <c r="O5" s="1107" t="n"/>
      <c r="P5" s="1369" t="inlineStr">
        <is>
          <t xml:space="preserve">Brewer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 xml:space="preserve">Start Mash-in (dd-mm hh:mm)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Brewing Specifications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 xml:space="preserve">Recipe Specifications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 xml:space="preserve">Mashing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"Total Volume Of Batch","Recipe Number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 xml:space="preserve">Target Original Extract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 xml:space="preserve">Mash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 xml:space="preserve">Recipe Name Software</t>
        </is>
      </c>
      <c r="E9" s="1083" t="n"/>
      <c r="F9" s="1394" t="n"/>
      <c r="G9" s="1177" t="n"/>
      <c r="H9" s="1178" t="n"/>
      <c r="I9" s="1395" t="inlineStr">
        <is>
          <t xml:space="preserve">Target Final Extract</t>
        </is>
      </c>
      <c r="M9" s="1083" t="n"/>
      <c r="N9" s="1396">
        <f>'Recipe Sheet'!F13</f>
        <v/>
      </c>
      <c r="O9" s="1397" t="inlineStr">
        <is>
          <t>⁰P</t>
        </is>
      </c>
      <c r="P9" s="1398" t="inlineStr">
        <is>
          <t xml:space="preserve">pH After Mash-in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"Special Bin Total kg","Mash 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"Mash 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Acid For Correction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"Special Bin Recipe Name"," ")</f>
        <v/>
      </c>
      <c r="E11" s="1083" t="n"/>
      <c r="F11" s="1410" t="n"/>
      <c r="G11" s="1177" t="n"/>
      <c r="H11" s="1178" t="n"/>
      <c r="I11" s="1395" t="inlineStr">
        <is>
          <t xml:space="preserve">Mash pH</t>
        </is>
      </c>
      <c r="M11" s="1083" t="n"/>
      <c r="N11" s="1411" t="n"/>
      <c r="O11" s="1178" t="n"/>
      <c r="P11" s="1398" t="inlineStr">
        <is>
          <t xml:space="preserve">pH After Correction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 xml:space="preserve">Grist:Water Ratio (kg:L)</t>
        </is>
      </c>
      <c r="E12" s="1083" t="n"/>
      <c r="F12" s="1414">
        <f>"1 :"&amp;ROUNDUP(IF(LEFT(A1,2)="WP",(N10*100)/'Recipe Sheet'!D40,(F10*100)/'Recipe Sheet'!D40),2)</f>
        <v/>
      </c>
      <c r="G12" s="1177" t="n"/>
      <c r="H12" s="1178" t="n"/>
      <c r="I12" s="1395" t="inlineStr">
        <is>
          <t xml:space="preserve">pH Start Boil</t>
        </is>
      </c>
      <c r="M12" s="1083" t="n"/>
      <c r="N12" s="1411" t="n"/>
      <c r="O12" s="1178" t="n"/>
      <c r="P12" s="1398" t="inlineStr">
        <is>
          <t xml:space="preserve">Iodine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"Cum. Sparge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 xml:space="preserve">pH End Boil</t>
        </is>
      </c>
      <c r="M13" s="1083" t="n"/>
      <c r="N13" s="1411" t="n"/>
      <c r="O13" s="1178" t="n"/>
      <c r="P13" s="1417" t="inlineStr">
        <is>
          <t xml:space="preserve">Mash Schedule Deviation?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 xml:space="preserve">Brew Size (hl)</t>
        </is>
      </c>
      <c r="E14" s="1083" t="n"/>
      <c r="F14" s="1419">
        <f>'Recipe Sheet'!C9</f>
        <v/>
      </c>
      <c r="G14" s="1177" t="n"/>
      <c r="H14" s="1403" t="inlineStr">
        <is>
          <t>hl</t>
        </is>
      </c>
      <c r="I14" s="1395" t="inlineStr">
        <is>
          <t xml:space="preserve">Aeration</t>
        </is>
      </c>
      <c r="M14" s="1083" t="n"/>
      <c r="N14" s="1420" t="n"/>
      <c r="O14" s="1397">
        <f>IF(LEFT(A1,2)="WP", "ppm","l/h")</f>
        <v/>
      </c>
      <c r="P14" s="1421" t="inlineStr">
        <is>
          <t xml:space="preserve">Rinse Water Mash Tun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 xml:space="preserve">Target Pre-Boil Extract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 xml:space="preserve">Target Temp Cooled Wort To GLT</t>
        </is>
      </c>
      <c r="J15" s="1080" t="n"/>
      <c r="K15" s="1080" t="n"/>
      <c r="L15" s="1080" t="n"/>
      <c r="M15" s="1081" t="n"/>
      <c r="N15" s="1428">
        <f>'Recipe Sheet'!F21</f>
        <v/>
      </c>
      <c r="O15" s="1429" t="inlineStr">
        <is>
          <t>°C</t>
        </is>
      </c>
      <c r="P15" s="1379" t="inlineStr">
        <is>
          <t xml:space="preserve">Filtration &amp; VLT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 xml:space="preserve">Pre-Boil Volume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"Sparge Flow Settings Brewmaxx","Filtration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 xml:space="preserve">Plato First Runnings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 xml:space="preserve">Wort Pre-Cooler Setpoint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"Sparge 1st","First Runnings")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 xml:space="preserve">Extract Last Runnings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"Water Addition To GLT","Total Brew Volume")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"Sparge 2nd","Sparge Water")</f>
        <v/>
      </c>
      <c r="M18" s="1083" t="n"/>
      <c r="N18" s="1397" t="n"/>
      <c r="O18" s="1397">
        <f>O17</f>
        <v/>
      </c>
      <c r="P18" s="1369" t="inlineStr">
        <is>
          <t xml:space="preserve">First Runnings Volume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"Cooled Volume To GLT","Final Volume In CKT")</f>
        <v/>
      </c>
      <c r="B19" s="1434" t="n"/>
      <c r="C19" s="1434" t="n"/>
      <c r="D19" s="1434" t="n"/>
      <c r="E19" s="1435" t="n"/>
      <c r="F19" s="1419">
        <f>IF(LEFT(A1,2)="WP", 'Recipe Sheet'!C9,'Recipe Sheet'!C9*'Recipe Sheet'!G7)</f>
        <v/>
      </c>
      <c r="G19" s="1177" t="n"/>
      <c r="H19" s="1403" t="inlineStr">
        <is>
          <t>hl</t>
        </is>
      </c>
      <c r="I19" s="1401">
        <f>IF(LEFT(A1,2)="WP", "Sparge 3rd","Sparge Runnings")</f>
        <v/>
      </c>
      <c r="M19" s="1083" t="n"/>
      <c r="N19" s="1397" t="n"/>
      <c r="O19" s="1397">
        <f>O18</f>
        <v/>
      </c>
      <c r="P19" s="1369">
        <f>IF(LEFT(A1,2)="WP", "Cum. Sparge Vol.","Sparge 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 xml:space="preserve">Target Evaporation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"Sparge 4th","Total Lautered Volume")</f>
        <v/>
      </c>
      <c r="M20" s="1083" t="n"/>
      <c r="N20" s="1397" t="n"/>
      <c r="O20" s="1445">
        <f>O17</f>
        <v/>
      </c>
      <c r="P20" s="1369">
        <f>IF(LEFT(A1,2)="WP", "Last Runnings pH","Sparge Runnings")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 xml:space="preserve">Boil Intensity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"Number Of Mashfilter Chambers","Lauter 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 xml:space="preserve">Filtration Time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 xml:space="preserve">Whirlpool Rest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 xml:space="preserve">Boiling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 xml:space="preserve">Mash Schedule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"Brewing Additions:","Extra Additions")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 xml:space="preserve">pH Start Boil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 xml:space="preserve">Mash-in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 xml:space="preserve">Rest (min)</t>
        </is>
      </c>
      <c r="H24" s="1470" t="n"/>
      <c r="I24" s="1459" t="inlineStr">
        <is>
          <t xml:space="preserve">Addition Type </t>
        </is>
      </c>
      <c r="J24" s="1114" t="n"/>
      <c r="K24" s="1115" t="n"/>
      <c r="L24" s="1471" t="inlineStr">
        <is>
          <t xml:space="preserve">Amount</t>
        </is>
      </c>
      <c r="M24" s="1115" t="n"/>
      <c r="N24" s="1471" t="inlineStr">
        <is>
          <t xml:space="preserve">Timing</t>
        </is>
      </c>
      <c r="O24" s="1115" t="n"/>
      <c r="P24" s="1446" t="inlineStr">
        <is>
          <t xml:space="preserve">Extract Start Boil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 xml:space="preserve">Raise To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 xml:space="preserve">Rest (min)</t>
        </is>
      </c>
      <c r="I25" s="1479">
        <f>IF(LEFT(A1,2)="WP",IF('Recipe Sheet'!A75="","",'Recipe Sheet'!A75),IF('Recipe Sheet'!A91="-","-",IF('Recipe Sheet'!A91="Revision Number","",'Recipe Sheet'!A91)))</f>
        <v/>
      </c>
      <c r="J25" s="1223" t="n"/>
      <c r="K25" s="1224" t="n"/>
      <c r="L25" s="1480">
        <f>IF(LEFT($A$1,2)="WP",IF('Recipe Sheet'!E75="","",'Recipe Sheet'!E75),IF('Recipe Sheet'!E91="","",'Recipe Sheet'!E91))</f>
        <v/>
      </c>
      <c r="M25" s="1481" t="n"/>
      <c r="N25" s="1482">
        <f>IF(LEFT($A$1,2)="WP",IF('Recipe Sheet'!I75="","",'Recipe Sheet'!I75),IF('Recipe Sheet'!I91="","",'Recipe Sheet'!I91))</f>
        <v/>
      </c>
      <c r="O25" s="1481" t="n"/>
      <c r="P25" s="1446" t="inlineStr">
        <is>
          <t xml:space="preserve">Volume Start Boil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 xml:space="preserve">Raise To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 xml:space="preserve">Rest (min)</t>
        </is>
      </c>
      <c r="I26" s="1486">
        <f>IF(LEFT(A1,2)="WP",IF('Recipe Sheet'!A76="","",'Recipe Sheet'!A76),IF('Recipe Sheet'!A92="-","-",IF('Recipe Sheet'!A92="Revision Number","",'Recipe Sheet'!A92)))</f>
        <v/>
      </c>
      <c r="J26" s="1177" t="n"/>
      <c r="K26" s="1178" t="n"/>
      <c r="L26" s="1487">
        <f>IF(LEFT($A$1,2)="WP",IF('Recipe Sheet'!E76="","",'Recipe Sheet'!E76),IF('Recipe Sheet'!E92="","",'Recipe Sheet'!E92))</f>
        <v/>
      </c>
      <c r="M26" s="1488" t="n"/>
      <c r="N26" s="1489">
        <f>IF(LEFT($A$1,2)="WP",IF('Recipe Sheet'!I76="","",'Recipe Sheet'!I76),IF('Recipe Sheet'!I92="","",'Recipe Sheet'!I92))</f>
        <v/>
      </c>
      <c r="O26" s="1488" t="n"/>
      <c r="P26" s="1446" t="inlineStr">
        <is>
          <t xml:space="preserve">Acid Correction</t>
        </is>
      </c>
      <c r="Q26" s="1078" t="n"/>
      <c r="R26" s="1078" t="n"/>
      <c r="S26" s="1443" t="n"/>
      <c r="T26" s="1490">
        <f>IF(LEFT(A1,2)="WP", "liter","ml")</f>
        <v/>
      </c>
      <c r="U26" s="1443" t="n"/>
      <c r="V26" s="1491">
        <f>IF(LEFT(A1,2)="WP", "liter","ml")</f>
        <v/>
      </c>
      <c r="W26" s="1443" t="n"/>
      <c r="X26" s="1492">
        <f>IF(LEFT(A1,2)="WP", "liter","ml")</f>
        <v/>
      </c>
      <c r="Y26" s="1443" t="n"/>
      <c r="Z26" s="1493">
        <f>IF(LEFT(A1,2)="WP", "liter","ml")</f>
        <v/>
      </c>
      <c r="AA26" s="1443" t="n"/>
      <c r="AB26" s="1494">
        <f>IF(LEFT(A1,2)="WP", "liter","ml")</f>
        <v/>
      </c>
      <c r="AC26" s="1443" t="n"/>
      <c r="AD26" s="1494">
        <f>IF(LEFT(A1,2)="WP", "liter","ml")</f>
        <v/>
      </c>
      <c r="AE26" s="1443" t="n"/>
      <c r="AF26" s="1494">
        <f>IF(LEFT(A1,2)="WP", "liter","ml")</f>
        <v/>
      </c>
      <c r="AG26" s="1443" t="n"/>
      <c r="AH26" s="1494">
        <f>IF(LEFT(A1,2)="WP", "liter","ml")</f>
        <v/>
      </c>
      <c r="AI26" s="1443" t="n"/>
      <c r="AJ26" s="1494">
        <f>IF(LEFT(A1,2)="WP", "liter","ml")</f>
        <v/>
      </c>
      <c r="AK26" s="1340" t="n"/>
    </row>
    <row r="27" ht="14.25" customFormat="1" customHeight="1" s="1099">
      <c r="A27" s="1475" t="inlineStr">
        <is>
          <t xml:space="preserve">Raise To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 xml:space="preserve">Rest (min)</t>
        </is>
      </c>
      <c r="I27" s="1486">
        <f>IF(LEFT(A1,2)="WP",IF('Recipe Sheet'!A77="","",'Recipe Sheet'!A77),IF('Recipe Sheet'!A93="-","-",IF('Recipe Sheet'!A93="Revision Number","",'Recipe Sheet'!A93)))</f>
        <v/>
      </c>
      <c r="J27" s="1177" t="n"/>
      <c r="K27" s="1178" t="n"/>
      <c r="L27" s="1487">
        <f>IF(LEFT($A$1,2)="WP",IF('Recipe Sheet'!E77="","",'Recipe Sheet'!E77),IF('Recipe Sheet'!E93="","",'Recipe Sheet'!E93))</f>
        <v/>
      </c>
      <c r="M27" s="1488" t="n"/>
      <c r="N27" s="1489">
        <f>IF(LEFT($A$1,2)="WP",IF('Recipe Sheet'!I77="","",'Recipe Sheet'!I77),IF('Recipe Sheet'!I93="","",'Recipe Sheet'!I93))</f>
        <v/>
      </c>
      <c r="O27" s="1488" t="n"/>
      <c r="P27" s="1495" t="inlineStr">
        <is>
          <t xml:space="preserve">pH After Acid Correction / Time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 xml:space="preserve">Raise To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 xml:space="preserve">Rest (min)</t>
        </is>
      </c>
      <c r="I28" s="1486">
        <f>IF(LEFT(A1,2)="WP",IF('Recipe Sheet'!A78="","",'Recipe Sheet'!A78),IF('Recipe Sheet'!A94="-","-",IF('Recipe Sheet'!A94="Revision Number","",'Recipe Sheet'!A94)))</f>
        <v/>
      </c>
      <c r="J28" s="1177" t="n"/>
      <c r="K28" s="1178" t="n"/>
      <c r="L28" s="1487">
        <f>IF(LEFT($A$1,2)="WP",IF('Recipe Sheet'!E78="","",'Recipe Sheet'!E78),IF('Recipe Sheet'!E94="","",'Recipe Sheet'!E94))</f>
        <v/>
      </c>
      <c r="M28" s="1488" t="n"/>
      <c r="N28" s="1489">
        <f>IF(LEFT($A$1,2)="WP",IF('Recipe Sheet'!I78="","",'Recipe Sheet'!I78),IF('Recipe Sheet'!I94="","",'Recipe Sheet'!I94))</f>
        <v/>
      </c>
      <c r="O28" s="1488" t="n"/>
      <c r="P28" s="1446" t="inlineStr">
        <is>
          <t xml:space="preserve">Total Boil Time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 xml:space="preserve">Mash-out At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 xml:space="preserve">Rest (min)</t>
        </is>
      </c>
      <c r="I29" s="1486">
        <f>IF(LEFT(A1,2)="WP",IF('Recipe Sheet'!A79="","",'Recipe Sheet'!A79),IF('Recipe Sheet'!A95="-","-",IF('Recipe Sheet'!A95="Revision Number","",'Recipe Sheet'!A95)))</f>
        <v/>
      </c>
      <c r="J29" s="1177" t="n"/>
      <c r="K29" s="1178" t="n"/>
      <c r="L29" s="1487">
        <f>IF(LEFT($A$1,2)="WP",IF('Recipe Sheet'!E79="","",'Recipe Sheet'!E79),IF('Recipe Sheet'!E95="","",'Recipe Sheet'!E95))</f>
        <v/>
      </c>
      <c r="M29" s="1488" t="n"/>
      <c r="N29" s="1489">
        <f>IF(LEFT($A$1,2)="WP",IF('Recipe Sheet'!I79="","",'Recipe Sheet'!I79),IF('Recipe Sheet'!I95="","",'Recipe Sheet'!I95))</f>
        <v/>
      </c>
      <c r="O29" s="1488" t="n"/>
      <c r="P29" s="1369" t="inlineStr">
        <is>
          <t xml:space="preserve">Evaporation Rate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IF(LEFT(A1,2)="WP",IF('Recipe Sheet'!A80="","",'Recipe Sheet'!A80),"-")</f>
        <v/>
      </c>
      <c r="J30" s="1177" t="n"/>
      <c r="K30" s="1178" t="n"/>
      <c r="L30" s="1487">
        <f>IF(LEFT($A$1,2)="WP",IF('Recipe Sheet'!E80="","",'Recipe Sheet'!E80),"-")</f>
        <v/>
      </c>
      <c r="M30" s="1488" t="n"/>
      <c r="N30" s="1489">
        <f>IF(LEFT($A$1,2)="WP",IF('Recipe Sheet'!I80="","",'Recipe Sheet'!I80),"-")</f>
        <v/>
      </c>
      <c r="O30" s="1488" t="n"/>
      <c r="P30" s="1446" t="inlineStr">
        <is>
          <t xml:space="preserve">Extra Additions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IF(LEFT(A1,2)="WP",IF('Recipe Sheet'!A81="","",'Recipe Sheet'!A81),"-")</f>
        <v/>
      </c>
      <c r="J31" s="1177" t="n"/>
      <c r="K31" s="1178" t="n"/>
      <c r="L31" s="1487">
        <f>IF(LEFT($A$1,2)="WP",IF('Recipe Sheet'!E81="","",'Recipe Sheet'!E81),"-")</f>
        <v/>
      </c>
      <c r="M31" s="1488" t="n"/>
      <c r="N31" s="1489">
        <f>IF(LEFT($A$1,2)="WP",IF('Recipe Sheet'!I81="","",'Recipe Sheet'!I81),"-")</f>
        <v/>
      </c>
      <c r="O31" s="1488" t="n"/>
      <c r="P31" s="1358" t="inlineStr">
        <is>
          <t xml:space="preserve">Extract End Of Boil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IF(LEFT(A1,2)="WP",IF('Recipe Sheet'!A82="","",'Recipe Sheet'!A82),"-")</f>
        <v/>
      </c>
      <c r="J32" s="1177" t="n"/>
      <c r="K32" s="1178" t="n"/>
      <c r="L32" s="1487">
        <f>IF(LEFT($A$1,2)="WP",IF('Recipe Sheet'!E82="","",'Recipe Sheet'!E82),"-")</f>
        <v/>
      </c>
      <c r="M32" s="1488" t="n"/>
      <c r="N32" s="1489">
        <f>IF(LEFT($A$1,2)="WP",IF('Recipe Sheet'!I82="","",'Recipe Sheet'!I82),"-")</f>
        <v/>
      </c>
      <c r="O32" s="1488" t="n"/>
      <c r="P32" s="1525" t="inlineStr">
        <is>
          <t xml:space="preserve">Whirlpool / End Of Boil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IF(LEFT(A1,2)="WP",IF('Recipe Sheet'!A83="","",'Recipe Sheet'!A83),"-")</f>
        <v/>
      </c>
      <c r="J33" s="1177" t="n"/>
      <c r="K33" s="1178" t="n"/>
      <c r="L33" s="1487">
        <f>IF(LEFT($A$1,2)="WP",IF('Recipe Sheet'!E83="","",'Recipe Sheet'!E83),"-")</f>
        <v/>
      </c>
      <c r="M33" s="1488" t="n"/>
      <c r="N33" s="1489">
        <f>IF(LEFT($A$1,2)="WP",IF('Recipe Sheet'!I83="","",'Recipe Sheet'!I83),"-")</f>
        <v/>
      </c>
      <c r="O33" s="1488" t="n"/>
      <c r="P33" s="1526" t="inlineStr">
        <is>
          <t xml:space="preserve"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IF(LEFT(A1,2)="WP",IF('Recipe Sheet'!A84="","",'Recipe Sheet'!A84),"-")</f>
        <v/>
      </c>
      <c r="J34" s="1507" t="n"/>
      <c r="K34" s="1533" t="n"/>
      <c r="L34" s="1534">
        <f>IF(LEFT($A$1,2)="WP",IF('Recipe Sheet'!E84="","",'Recipe Sheet'!E84),"-")</f>
        <v/>
      </c>
      <c r="M34" s="1535" t="n"/>
      <c r="N34" s="1536">
        <f>IF(LEFT($A$1,2)="WP",IF('Recipe Sheet'!I84="","",'Recipe Sheet'!I84),"-")</f>
        <v/>
      </c>
      <c r="O34" s="1535" t="n"/>
      <c r="P34" s="1446" t="inlineStr">
        <is>
          <t xml:space="preserve">Extract Cooled Wort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 xml:space="preserve">Hop dosing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"Automatic Dosing:","Recipe Additives")</f>
        <v/>
      </c>
      <c r="J35" s="1114" t="n"/>
      <c r="K35" s="1114" t="n"/>
      <c r="L35" s="1115" t="n"/>
      <c r="M35" s="1541">
        <f>IF(LEFT(A1,2)="WP", "Acid [L]","Amount &amp; Timing")</f>
        <v/>
      </c>
      <c r="N35" s="1541">
        <f>IF(LEFT(A1,2)="WP", "Tannins [L]","Initials")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 xml:space="preserve">Hop Addition</t>
        </is>
      </c>
      <c r="B36" s="1224" t="n"/>
      <c r="C36" s="1384">
        <f>'Recipe Sheet'!G43</f>
        <v/>
      </c>
      <c r="D36" s="1469" t="inlineStr">
        <is>
          <t>min</t>
        </is>
      </c>
      <c r="E36" s="1546">
        <f>IF(A36=" "," ", "Hop Doser / Method")</f>
        <v/>
      </c>
      <c r="F36" s="1223" t="n"/>
      <c r="G36" s="1224" t="n"/>
      <c r="H36" s="1478">
        <f>IF(LEFT($A$1,2)="WP",IFERROR(INDEX('Recipe Sheet'!G42:Q56,MATCH('Brew Sheet'!C36,'Recipe Sheet'!G42:G56,0),11),""),IF(IFERROR(1/INDEX('Recipe Sheet'!G42:Q56,MATCH('Brew Sheet'!C36,'Recipe Sheet'!G42:G56,0),3),"no")="no",IF('Brew Sheet'!C36="","","no"),"yes"))</f>
        <v/>
      </c>
      <c r="I36" s="1547">
        <f>IF(LEFT(A1,2)="WP","Mash-in",'Recipe Sheet'!A75)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 xml:space="preserve">Actual Rest Time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 Addition")</f>
        <v/>
      </c>
      <c r="B37" s="1178" t="n"/>
      <c r="C37" s="1402">
        <f t="array" ref="C37:C37">IFERROR(INDEX('Recipe Sheet'!G43:G57,MATCH(FALSE(),'Recipe Sheet'!G43:G57= C36,0)),"")</f>
        <v/>
      </c>
      <c r="D37" s="1478">
        <f>IF(C37=""," ","min")</f>
        <v/>
      </c>
      <c r="E37" s="1558">
        <f>IF(A37=" "," ", "Hop Doser / Method")</f>
        <v/>
      </c>
      <c r="F37" s="1177" t="n"/>
      <c r="G37" s="1178" t="n"/>
      <c r="H37" s="1478">
        <f>IF(LEFT($A$1,2)="WP",IFERROR(INDEX('Recipe Sheet'!G43:Q57,MATCH('Brew Sheet'!C37,'Recipe Sheet'!G43:G57,0),11),""),IF(IFERROR(1/INDEX('Recipe Sheet'!G43:Q57,MATCH('Brew Sheet'!C37,'Recipe Sheet'!G43:G57,0),3),"no")="no",IF('Brew Sheet'!C37="","","no"),"yes"))</f>
        <v/>
      </c>
      <c r="I37" s="1559">
        <f>IF(LEFT(A1,2)="WP", "Boil",'Recipe Sheet'!A76)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 xml:space="preserve">Aeration Rate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 Addition")</f>
        <v/>
      </c>
      <c r="B38" s="1178" t="n"/>
      <c r="C38" s="1567">
        <f t="array" ref="C38:C38">IFERROR(INDEX('Recipe Sheet'!G43:G57,MATCH(1,('Recipe Sheet'!G43:G57&lt;C37)*('Recipe Sheet'!G43:G57&lt;C36),0)),"")</f>
        <v/>
      </c>
      <c r="D38" s="1478">
        <f>IF(C38=""," ","min")</f>
        <v/>
      </c>
      <c r="E38" s="1558">
        <f>IF(A38=" "," ", "Hop Doser / Method")</f>
        <v/>
      </c>
      <c r="F38" s="1177" t="n"/>
      <c r="G38" s="1178" t="n"/>
      <c r="H38" s="1478">
        <f>IF(LEFT($A$1,2)="WP",IFERROR(INDEX('Recipe Sheet'!G44:Q58,MATCH('Brew Sheet'!C38,'Recipe Sheet'!G44:G58,0),11),""),IF(IFERROR(1/INDEX('Recipe Sheet'!G44:Q58,MATCH('Brew Sheet'!C38,'Recipe Sheet'!G44:G58,0),3),"no")="no",IF('Brew Sheet'!C38="","","no"),"yes"))</f>
        <v/>
      </c>
      <c r="I38" s="1568">
        <f>IF(LEFT(A1,2)="WP", "Inline Sparge",'Recipe Sheet'!A77)</f>
        <v/>
      </c>
      <c r="L38" s="1083" t="n"/>
      <c r="M38" s="1561" t="n"/>
      <c r="N38" s="1561" t="n"/>
      <c r="O38" s="1178" t="n"/>
      <c r="P38" s="1369" t="inlineStr">
        <is>
          <t xml:space="preserve">Water Addition After Whirlpool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 Addition")</f>
        <v/>
      </c>
      <c r="B39" s="1178" t="n"/>
      <c r="C39" s="1567">
        <f t="array" ref="C39:C39">IFERROR(INDEX('Recipe Sheet'!G44:G58,MATCH(1,('Recipe Sheet'!G44:G58&lt;C38)*('Recipe Sheet'!G44:G58&lt;C37),0)),"")</f>
        <v/>
      </c>
      <c r="D39" s="1478">
        <f>IF(C39=""," ","min")</f>
        <v/>
      </c>
      <c r="E39" s="1558">
        <f>IF(A39=" "," ", "Hop Doser / Method")</f>
        <v/>
      </c>
      <c r="F39" s="1177" t="n"/>
      <c r="G39" s="1178" t="n"/>
      <c r="H39" s="1478">
        <f>IF(LEFT($A$1,2)="WP",IFERROR(INDEX('Recipe Sheet'!G45:Q59,MATCH('Brew Sheet'!C39,'Recipe Sheet'!G45:G59,0),11),""),IF(IFERROR(1/INDEX('Recipe Sheet'!G45:Q59,MATCH('Brew Sheet'!C39,'Recipe Sheet'!G45:G59,0),3),"no")="no",IF('Brew Sheet'!C39="","","no"),"yes"))</f>
        <v/>
      </c>
      <c r="I39" s="1568">
        <f>IF(LEFT(A1,2)="WP", " ",'Recipe Sheet'!A78)</f>
        <v/>
      </c>
      <c r="L39" s="1083" t="n"/>
      <c r="M39" s="1561">
        <f>IF(LEFT(A1,2)="WP"," ",'Recipe Sheet'!E78&amp;" "&amp;'Recipe Sheet'!I78)</f>
        <v/>
      </c>
      <c r="N39" s="1561" t="n"/>
      <c r="O39" s="1178" t="n"/>
      <c r="P39" s="1369" t="inlineStr">
        <is>
          <t xml:space="preserve">Brew Volume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 Addition")</f>
        <v/>
      </c>
      <c r="B40" s="1178" t="n"/>
      <c r="C40" s="1567">
        <f t="array" ref="C40:C40">IFERROR(INDEX('Recipe Sheet'!G45:G59,MATCH(1,('Recipe Sheet'!G45:G59&lt;C39)*('Recipe Sheet'!G45:G59&lt;C38),0)),"")</f>
        <v/>
      </c>
      <c r="D40" s="1478">
        <f>IF(C40=""," ","min")</f>
        <v/>
      </c>
      <c r="E40" s="1558">
        <f>IF(A40=" "," ", "Hop Doser / Method")</f>
        <v/>
      </c>
      <c r="F40" s="1177" t="n"/>
      <c r="G40" s="1178" t="n"/>
      <c r="H40" s="1478">
        <f>IFERROR(INDEX('Recipe Sheet'!G46:Q60,MATCH('Brew Sheet'!C40,'Recipe Sheet'!G46:G60,0),11),"")</f>
        <v/>
      </c>
      <c r="I40" s="1568">
        <f>IF(LEFT(A1,2)="WP", " ",'Recipe Sheet'!A79)</f>
        <v/>
      </c>
      <c r="L40" s="1083" t="n"/>
      <c r="M40" s="1561">
        <f>IF(LEFT(A1,2)="WP"," ",'Recipe Sheet'!E79&amp;" "&amp;'Recipe Sheet'!I79)</f>
        <v/>
      </c>
      <c r="N40" s="1561" t="n"/>
      <c r="O40" s="1178" t="n"/>
      <c r="P40" s="1580" t="inlineStr">
        <is>
          <t xml:space="preserve">Total Volume In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 Addition")</f>
        <v/>
      </c>
      <c r="B41" s="1178" t="n"/>
      <c r="C41" s="1567">
        <f t="array" ref="C41:C41">IFERROR(INDEX('Recipe Sheet'!G46:G60,MATCH(1,('Recipe Sheet'!G46:G60&lt;C40)*('Recipe Sheet'!G46:G60&lt;C39),0)),"")</f>
        <v/>
      </c>
      <c r="D41" s="1478">
        <f>IF(C41=""," ","min")</f>
        <v/>
      </c>
      <c r="E41" s="1558">
        <f>IF(A41=" "," ", "Dosing Point")</f>
        <v/>
      </c>
      <c r="F41" s="1177" t="n"/>
      <c r="G41" s="1178" t="n"/>
      <c r="H41" s="1478">
        <f>IFERROR(INDEX('Recipe Sheet'!G47:Q61,MATCH('Brew Sheet'!C41,'Recipe Sheet'!G47:G61,0),11),"")</f>
        <v/>
      </c>
      <c r="I41" s="1568">
        <f>IF(LEFT(A1,2)="WP", " ",'Recipe Sheet'!A80)</f>
        <v/>
      </c>
      <c r="L41" s="1083" t="n"/>
      <c r="M41" s="1561">
        <f>IF(LEFT(A1,2)="WP"," ",'Recipe Sheet'!E80&amp;" "&amp;'Recipe Sheet'!I80)</f>
        <v/>
      </c>
      <c r="N41" s="1561" t="n"/>
      <c r="O41" s="1178" t="n"/>
      <c r="P41" s="1580" t="inlineStr">
        <is>
          <t xml:space="preserve">Extract In GLT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 Addition")</f>
        <v/>
      </c>
      <c r="B42" s="1178" t="n"/>
      <c r="C42" s="1567">
        <f t="array" ref="C42:C42">IFERROR(INDEX('Recipe Sheet'!G47:G61,MATCH(1,('Recipe Sheet'!G47:G61&lt;C41)*('Recipe Sheet'!G47:G61&lt;C40)*('Recipe Sheet'!G47:G61&lt;C39),0)),"")</f>
        <v/>
      </c>
      <c r="D42" s="1585">
        <f>IF(C42=""," ","min")</f>
        <v/>
      </c>
      <c r="E42" s="1558">
        <f>IF(A42=" "," ", "Dosing Point")</f>
        <v/>
      </c>
      <c r="F42" s="1177" t="n"/>
      <c r="G42" s="1178" t="n"/>
      <c r="H42" s="1478">
        <f>IFERROR(INDEX('Recipe Sheet'!G48:Q62,MATCH('Brew Sheet'!C42,'Recipe Sheet'!G48:G62,0),11),"")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 xml:space="preserve">Comments: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 xml:space="preserve">Yeast Pitching:</t>
        </is>
      </c>
      <c r="L43" s="1114" t="n"/>
      <c r="M43" s="1114" t="n"/>
      <c r="N43" s="1114" t="n"/>
      <c r="O43" s="1115" t="n"/>
      <c r="P43" s="1580" t="inlineStr">
        <is>
          <t xml:space="preserve">End Time Brew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 xml:space="preserve">Temp Start</t>
        </is>
      </c>
      <c r="L44" s="1075" t="n"/>
      <c r="M44" s="1076" t="n"/>
      <c r="N44" s="1595">
        <f>'Recipe Sheet'!F21</f>
        <v/>
      </c>
      <c r="O44" s="1224" t="n"/>
      <c r="P44" s="1596" t="inlineStr">
        <is>
          <t xml:space="preserve">Total Brewing Time</t>
        </is>
      </c>
      <c r="Q44" s="1597" t="n"/>
      <c r="R44" s="1597" t="n"/>
      <c r="S44" s="1598">
        <f>IF(LEFT(A1,2)="WP",S43-S6,(S43-S6)-S49)</f>
        <v/>
      </c>
      <c r="T44" s="1599" t="inlineStr">
        <is>
          <t xml:space="preserve">hrs</t>
        </is>
      </c>
      <c r="U44" s="1598">
        <f>IF(LEFT(A1,2)="WP",U43-U6,(U43-U6)-U49)</f>
        <v/>
      </c>
      <c r="V44" s="1599" t="inlineStr">
        <is>
          <t xml:space="preserve">hrs</t>
        </is>
      </c>
      <c r="W44" s="1598">
        <f>IF(LEFT(A1,2)="WP",W43-W6,(W43-W6)-W49)</f>
        <v/>
      </c>
      <c r="X44" s="1599" t="inlineStr">
        <is>
          <t xml:space="preserve">hrs</t>
        </is>
      </c>
      <c r="Y44" s="1598">
        <f>IF(LEFT(A1,2)="WP",Y43-Y6,(Y43-Y6)-Y49)</f>
        <v/>
      </c>
      <c r="Z44" s="1599" t="inlineStr">
        <is>
          <t xml:space="preserve">hrs</t>
        </is>
      </c>
      <c r="AA44" s="1598">
        <f>IF(LEFT(A1,2)="WP",AA43-AA6,(AA43-AA6)-AA49)</f>
        <v/>
      </c>
      <c r="AB44" s="1599" t="inlineStr">
        <is>
          <t xml:space="preserve">hrs</t>
        </is>
      </c>
      <c r="AC44" s="1598">
        <f>IF(LEFT(A1,2)="WP",AC43-AC6,(AC43-AC6)-AC49)</f>
        <v/>
      </c>
      <c r="AD44" s="1599" t="inlineStr">
        <is>
          <t xml:space="preserve">hrs</t>
        </is>
      </c>
      <c r="AE44" s="1598">
        <f>IF(LEFT(A1,2)="WP",AE43-AE6,(AE43-AE6)-AE49)</f>
        <v/>
      </c>
      <c r="AF44" s="1599" t="inlineStr">
        <is>
          <t xml:space="preserve">hrs</t>
        </is>
      </c>
      <c r="AG44" s="1598">
        <f>IF(LEFT(A1,2)="WP",AG43-AG6,(AG43-AG6)-AG49)</f>
        <v/>
      </c>
      <c r="AH44" s="1599" t="inlineStr">
        <is>
          <t xml:space="preserve">hrs</t>
        </is>
      </c>
      <c r="AI44" s="1598">
        <f>IF(LEFT(A1,2)="WP",AI43-AI6,(AI43-AI6)-AI49)</f>
        <v/>
      </c>
      <c r="AJ44" s="1599" t="inlineStr">
        <is>
          <t xml:space="preserve">hrs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 xml:space="preserve">Temp Max</t>
        </is>
      </c>
      <c r="M45" s="1083" t="n"/>
      <c r="N45" s="1601">
        <f>'Recipe Sheet'!F22</f>
        <v/>
      </c>
      <c r="O45" s="1178" t="n"/>
      <c r="P45" s="1602">
        <f>IF(LEFT(A1,2)="WP", " ","Aeration Filter Steamed?")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 xml:space="preserve">Yeast Strain</t>
        </is>
      </c>
      <c r="M46" s="1083" t="n"/>
      <c r="N46" s="1609">
        <f>SUBSTITUTE('Recipe Sheet'!A87&amp;IF('Recipe Sheet'!A88=0,"",'Recipe Sheet'!A88),"(g/brew)"," ")</f>
        <v/>
      </c>
      <c r="O46" s="1178" t="n"/>
      <c r="P46" s="1602">
        <f>IF(LEFT(A1,2)="WP", " ","Wort Line Sterilised?")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 xml:space="preserve">Rehydrated?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 xml:space="preserve">Weight [g]</t>
        </is>
      </c>
      <c r="M48" s="1083" t="n"/>
      <c r="N48" s="1617">
        <f>'Recipe Sheet'!G87+IF('Recipe Sheet'!G88="",0,'Recipe Sheet'!G88)</f>
        <v/>
      </c>
      <c r="O48" s="1178" t="n"/>
      <c r="P48" s="1602">
        <f>IF(LEFT(A1,2)="WP", " ","Spent Grain Bin No.")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 xml:space="preserve">Pitched in 1st brew?</t>
        </is>
      </c>
      <c r="M49" s="1083" t="n"/>
      <c r="N49" s="1615" t="n"/>
      <c r="O49" s="1178" t="n"/>
      <c r="P49" s="1602">
        <f>IF(LEFT(A1,2)="WP", " ","Process Pause (hh:mm)")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 xml:space="preserve">Date Of Pitching:</t>
        </is>
      </c>
      <c r="M50" s="1083" t="n"/>
      <c r="N50" s="2211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 xml:space="preserve">Pitched By: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 xml:space="preserve">Fermentation Program Started?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'Recipe Sheet'!$T$15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2212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2212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2212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2212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2212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2212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2212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2212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2212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 xml:space="preserve">Specifications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CHOOSE(WEEKDAY(H4),"Sunday","Monday","Tuesday","Wednesday","Thursday","Friday","Saturday")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'Recipe Sheet'!F12</f>
        <v/>
      </c>
      <c r="P3" s="1670">
        <f>'Recipe Sheet'!E12</f>
        <v/>
      </c>
      <c r="Q3" s="1671" t="inlineStr">
        <is>
          <t xml:space="preserve">Lagering Temp</t>
        </is>
      </c>
      <c r="R3" s="1672" t="n"/>
      <c r="S3" s="1657" t="inlineStr">
        <is>
          <t>°C</t>
        </is>
      </c>
      <c r="T3" s="1669">
        <f>'Recipe Sheet'!M23</f>
        <v/>
      </c>
      <c r="U3" s="1673" t="n"/>
      <c r="V3" s="1670" t="n"/>
      <c r="X3" s="1674">
        <f>IF(COUNTIF('Recipe Sheet'!G58:I63,"warm")&gt;0,IF(SUMIF('Recipe Sheet'!G58:P63,"warm",'Recipe Sheet'!P58:P63)= "&gt;65000","Dry hop method: "&amp;"warm Hopsteiner","Dry hop method: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'Recipe Sheet'!C3</f>
        <v/>
      </c>
      <c r="B4" s="1676" t="n"/>
      <c r="C4" s="1677" t="n"/>
      <c r="D4" s="1678">
        <f>'Brew Sheet'!I5</f>
        <v/>
      </c>
      <c r="E4" s="1679" t="n"/>
      <c r="H4" s="2213">
        <f>TODAY()</f>
        <v/>
      </c>
      <c r="K4" s="1681">
        <f>'Recipe Sheet'!A23</f>
        <v/>
      </c>
      <c r="L4" s="1078" t="n"/>
      <c r="M4" s="1087" t="n"/>
      <c r="N4" s="1682" t="inlineStr">
        <is>
          <t>°C</t>
        </is>
      </c>
      <c r="O4" s="1683">
        <f>'Recipe Sheet'!F23</f>
        <v/>
      </c>
      <c r="P4" s="1684">
        <f>'Recipe Sheet'!E23</f>
        <v/>
      </c>
      <c r="Q4" s="1685" t="inlineStr">
        <is>
          <t xml:space="preserve">Lagering Time</t>
        </is>
      </c>
      <c r="R4" s="1686" t="n"/>
      <c r="S4" s="1687" t="inlineStr">
        <is>
          <t>days</t>
        </is>
      </c>
      <c r="T4" s="1688">
        <f>'Recipe Sheet'!M22</f>
        <v/>
      </c>
      <c r="U4" s="1689" t="n"/>
      <c r="V4" s="1690" t="n"/>
      <c r="X4" s="1691">
        <f>ROUND(SUMIF('Recipe Sheet'!G55:P60,"warm",'Recipe Sheet'!P55:P60)/1000,1)&amp;"  kg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 xml:space="preserve">Temp Warm Dry Hop 1</t>
        </is>
      </c>
      <c r="L5" s="1078" t="n"/>
      <c r="M5" s="1087" t="n"/>
      <c r="N5" s="1682" t="inlineStr">
        <is>
          <t>°C</t>
        </is>
      </c>
      <c r="O5" s="1683">
        <f>'Recipe Sheet'!F24</f>
        <v/>
      </c>
      <c r="P5" s="1684">
        <f>'Recipe Sheet'!E24</f>
        <v/>
      </c>
      <c r="Q5" s="1685" t="inlineStr">
        <is>
          <t xml:space="preserve">Final Extract</t>
        </is>
      </c>
      <c r="R5" s="1686" t="n"/>
      <c r="S5" s="1687" t="inlineStr">
        <is>
          <t>°P</t>
        </is>
      </c>
      <c r="T5" s="1683">
        <f>'Recipe Sheet'!F13</f>
        <v/>
      </c>
      <c r="U5" s="1697">
        <f>'Recipe Sheet'!E13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 xml:space="preserve">Extract Warm Dry Hop 1</t>
        </is>
      </c>
      <c r="L6" s="1078" t="n"/>
      <c r="M6" s="1087" t="n"/>
      <c r="N6" s="1682" t="inlineStr">
        <is>
          <t>°P</t>
        </is>
      </c>
      <c r="O6" s="1683">
        <f>'Recipe Sheet'!F25</f>
        <v/>
      </c>
      <c r="P6" s="1684">
        <f>'Recipe Sheet'!E25</f>
        <v/>
      </c>
      <c r="Q6" s="1685" t="inlineStr">
        <is>
          <t>pH end product</t>
        </is>
      </c>
      <c r="R6" s="1686" t="n"/>
      <c r="S6" s="1687" t="n"/>
      <c r="T6" s="1683">
        <f>'Recipe Sheet'!F17</f>
        <v/>
      </c>
      <c r="U6" s="1697">
        <f>'Recipe Sheet'!E17</f>
        <v/>
      </c>
      <c r="V6" s="1690" t="n"/>
      <c r="X6" s="1674">
        <f>IF(COUNTIF('Recipe Sheet'!G58:I63," @16C")&gt;0,IF(SUMIF('Recipe Sheet'!G58:P63," @16C",'Recipe Sheet'!P58:P63)= "&gt;65000","Dry hop method: "&amp;"@16C Hopsteiner","Dry hop method: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 xml:space="preserve">Extract Warm Dry Hop 2</t>
        </is>
      </c>
      <c r="L7" s="1078" t="n"/>
      <c r="M7" s="1087" t="n"/>
      <c r="N7" s="1682" t="inlineStr">
        <is>
          <t>°P</t>
        </is>
      </c>
      <c r="O7" s="1683">
        <f>'Recipe Sheet'!F26</f>
        <v/>
      </c>
      <c r="P7" s="1690">
        <f>'Recipe Sheet'!E26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'Recipe Sheet'!F14</f>
        <v/>
      </c>
      <c r="U7" s="1704">
        <f>'Recipe Sheet'!E14</f>
        <v/>
      </c>
      <c r="V7" s="1705" t="n"/>
      <c r="X7" s="1691">
        <f>ROUND(SUMIF('Recipe Sheet'!G58:P63," @16C",'Recipe Sheet'!P58:P63)/1000,1)&amp;"  kg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 xml:space="preserve">Beer Risk Category</t>
        </is>
      </c>
      <c r="C8" s="1316" t="n"/>
      <c r="D8" s="1351" t="inlineStr">
        <is>
          <t xml:space="preserve">Beer Status</t>
        </is>
      </c>
      <c r="E8" s="1316" t="n"/>
      <c r="K8" s="1681" t="inlineStr">
        <is>
          <t xml:space="preserve">Extract Warm Dry Hop 3</t>
        </is>
      </c>
      <c r="L8" s="1078" t="n"/>
      <c r="M8" s="1087" t="n"/>
      <c r="N8" s="1682" t="inlineStr">
        <is>
          <t>°P</t>
        </is>
      </c>
      <c r="O8" s="1683">
        <f>'Recipe Sheet'!F27</f>
        <v/>
      </c>
      <c r="P8" s="1690">
        <f>'Recipe Sheet'!E27</f>
        <v/>
      </c>
      <c r="Q8" s="1707" t="inlineStr">
        <is>
          <t xml:space="preserve">Automatic Calculations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'Recipe Sheet'!N17</f>
        <v/>
      </c>
      <c r="C9" s="1107" t="n"/>
      <c r="D9" s="1142">
        <f>'Recipe Sheet'!N23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'Recipe Sheet'!M21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 xml:space="preserve">Days</t>
        </is>
      </c>
      <c r="B12" s="1718" t="inlineStr">
        <is>
          <t>Plato</t>
        </is>
      </c>
      <c r="C12" s="1719" t="inlineStr">
        <is>
          <t xml:space="preserve">Temp Top</t>
        </is>
      </c>
      <c r="D12" s="1719" t="inlineStr">
        <is>
          <t xml:space="preserve">Temp Bottom</t>
        </is>
      </c>
      <c r="E12" s="1720" t="inlineStr">
        <is>
          <t>pH</t>
        </is>
      </c>
      <c r="F12" s="1721" t="inlineStr">
        <is>
          <t xml:space="preserve">Div.</t>
        </is>
      </c>
      <c r="G12" s="1722" t="inlineStr">
        <is>
          <t>Timer</t>
        </is>
      </c>
      <c r="H12" s="1723" t="inlineStr">
        <is>
          <t xml:space="preserve">Plato Decrease</t>
        </is>
      </c>
      <c r="I12" s="1724" t="inlineStr">
        <is>
          <t xml:space="preserve">Hours Since Last Reading</t>
        </is>
      </c>
      <c r="J12" s="1718" t="inlineStr">
        <is>
          <t xml:space="preserve">Date</t>
        </is>
      </c>
      <c r="K12" s="1719" t="inlineStr">
        <is>
          <t xml:space="preserve">Time</t>
        </is>
      </c>
      <c r="L12" s="1719" t="inlineStr">
        <is>
          <t xml:space="preserve">Action Taken</t>
        </is>
      </c>
      <c r="M12" s="1725" t="n"/>
      <c r="N12" s="1726" t="n"/>
      <c r="O12" s="1719" t="inlineStr">
        <is>
          <t xml:space="preserve">Comments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IF('Brew Sheet'!AG41="",IF('Brew Sheet'!AE41="",IF('Brew Sheet'!AC41="",IF('Brew Sheet'!AA41="",IF('Brew Sheet'!Y41="",IF('Brew Sheet'!W41="",IF('Brew Sheet'!U41="",'Brew Sheet'!S41,'Brew Sheet'!U41),'Brew Sheet'!W41),'Brew Sheet'!Y41),'Brew Sheet'!AA41),'Brew Sheet'!AC41),'Brew Sheet'!AE41),'Brew Sheet'!AG41)</f>
        <v/>
      </c>
      <c r="C13" s="1729" t="n"/>
      <c r="D13" s="1729" t="n"/>
      <c r="E13" s="1730">
        <f>IF('Brew Sheet'!S35="","",AVERAGE('Brew Sheet'!S35,'Brew Sheet'!U35,'Brew Sheet'!W35,'Brew Sheet'!Y35,'Brew Sheet'!AA35,'Brew Sheet'!AC35,'Brew Sheet'!AE35,'Brew Sheet'!AG35,'Brew Sheet'!AI35))</f>
        <v/>
      </c>
      <c r="F13" s="1661" t="n"/>
      <c r="G13" s="1731" t="n"/>
      <c r="H13" s="1732" t="n"/>
      <c r="I13" s="1663" t="n"/>
      <c r="J13" s="1733">
        <f>TRUNC(IF('Brew Sheet'!AG6="",IF('Brew Sheet'!AE6="",IF('Brew Sheet'!AC6="",IF('Brew Sheet'!AA6="",IF('Brew Sheet'!Y6="",IF('Brew Sheet'!W6="",IF('Brew Sheet'!U6="",'Brew Sheet'!S6,'Brew Sheet'!U6),'Brew Sheet'!W6),'Brew Sheet'!Y6),'Brew Sheet'!AA6),'Brew Sheet'!AC6),'Brew Sheet'!AE6),'Brew Sheet'!AG6))</f>
        <v/>
      </c>
      <c r="K13" s="1734" t="n"/>
      <c r="L13" s="1729" t="n"/>
      <c r="M13" s="1735" t="n"/>
      <c r="N13" s="1736" t="n"/>
      <c r="O13" s="1729" t="inlineStr">
        <is>
          <t xml:space="preserve">last brew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IF('Recipe Sheet'!I91="-","-",'Recipe Sheet'!E91&amp;" "&amp;'Recipe Sheet'!A91&amp;" @"&amp;'Recipe Sheet'!I91)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IF('Recipe Sheet'!I92="-","-",'Recipe Sheet'!E92&amp;" "&amp;'Recipe Sheet'!A92&amp;" @"&amp;'Recipe Sheet'!I92)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IF('Recipe Sheet'!I93="-","-",'Recipe Sheet'!E93&amp;" "&amp;'Recipe Sheet'!A93&amp;" @"&amp;'Recipe Sheet'!I93)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IF('Recipe Sheet'!I94="-","-",'Recipe Sheet'!E94&amp;" "&amp;'Recipe Sheet'!A94&amp;" @"&amp;'Recipe Sheet'!I94)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IF('Recipe Sheet'!I95="-","-",'Recipe Sheet'!E95&amp;" "&amp;'Recipe Sheet'!A95&amp;" @"&amp;'Recipe Sheet'!I95)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 xml:space="preserve">date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 xml:space="preserve">dry 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 xml:space="preserve">cooling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 xml:space="preserve">addition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 xml:space="preserve">sample to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'Recipe Sheet'!G7*'Recipe Sheet'!C9*100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VLOOKUP("*Nagardo*",'Recipe Sheet'!A91:H93,5,FALSE())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'Recipe Sheet'!E92*(AA53/100)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purge,purge,spund,dry warm,tasting,cooling,addition,pump start,pump stop,transfer,processing,sample to lab,blending,dry hopping,other"</formula1>
      <formula2>0</formula2>
    </dataValidation>
    <dataValidation sqref="L13:N13" showDropDown="0" showInputMessage="1" showErrorMessage="1" allowBlank="1" type="list" errorStyle="stop" operator="between">
      <formula1>"24h purge,purge,spund,dry warm,tasting,cooling,addition,pump start,pump stop,transfer,processing,sample to lab,blending,dry hopping,transport,other"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 xml:space="preserve">Processing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'Fermentation Chart'!A4</f>
        <v/>
      </c>
      <c r="H3" s="1083" t="n"/>
      <c r="I3" s="1830" t="inlineStr">
        <is>
          <t xml:space="preserve">Batch No.:</t>
        </is>
      </c>
      <c r="J3" s="1078" t="n"/>
      <c r="K3" s="1078" t="n"/>
      <c r="L3" s="1831">
        <f>'Recipe Sheet'!K3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Specifications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 xml:space="preserve"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 xml:space="preserve">Spec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 xml:space="preserve">Spec</t>
        </is>
      </c>
      <c r="O6" s="1846" t="inlineStr">
        <is>
          <t>+/-</t>
        </is>
      </c>
      <c r="P6" s="1847">
        <f>'Recipe Sheet'!N17</f>
        <v/>
      </c>
      <c r="Q6" s="1075" t="n"/>
      <c r="R6" s="1076" t="n"/>
      <c r="S6" s="2214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'Recipe Sheet'!M25</f>
        <v/>
      </c>
      <c r="F7" s="1076" t="n"/>
      <c r="G7" s="1852">
        <f>'Recipe Sheet'!L25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'Recipe Sheet'!M13</f>
        <v/>
      </c>
      <c r="O7" s="1855">
        <f>'Recipe Sheet'!L13-0.1</f>
        <v/>
      </c>
      <c r="P7" s="1160" t="n"/>
      <c r="R7" s="1083" t="n"/>
      <c r="S7" s="2214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'Recipe Sheet'!M24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'Recipe Sheet'!M15</f>
        <v/>
      </c>
      <c r="O8" s="1855">
        <f>'Recipe Sheet'!L15+0.2</f>
        <v/>
      </c>
      <c r="P8" s="1160" t="n"/>
      <c r="R8" s="1083" t="n"/>
      <c r="S8" s="2214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'Recipe Sheet'!M14</f>
        <v/>
      </c>
      <c r="O9" s="1863">
        <f>'Recipe Sheet'!L14-0.1</f>
        <v/>
      </c>
      <c r="P9" s="1079" t="n"/>
      <c r="Q9" s="1080" t="n"/>
      <c r="R9" s="1081" t="n"/>
      <c r="S9" s="2214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 xml:space="preserve">Processing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2209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2209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2209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 xml:space="preserve">Volume Current Batch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 xml:space="preserve">Alcohol Current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 xml:space="preserve">Standpipe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 xml:space="preserve">Target Alcohol After Dilution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 xml:space="preserve">Flow [hl/h]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 xml:space="preserve">Made From Batch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 xml:space="preserve">Dosing (from Recipe Sheet)</t>
        </is>
      </c>
      <c r="T36" s="1602" t="n"/>
      <c r="U36" s="1939" t="n"/>
      <c r="V36" s="1763">
        <f>VLOOKUP("*Nagardo*",'Recipe Sheet'!$A$91:$H$93,5,FALSE())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'Recipe Sheet'!$E$92*(V35/100*100)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 xml:space="preserve">Dosing (from Recipe Sheet)</t>
        </is>
      </c>
      <c r="T50" s="1602" t="n"/>
      <c r="U50" s="1602" t="n"/>
      <c r="V50" s="1763">
        <f>VLOOKUP("*Nagardo*",'Recipe Sheet'!$A$91:$H$93,5,FALSE())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'Recipe Sheet'!$E$92*(V49/100*100)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"Bottom Valve,Standpipe"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 xml:space="preserve">Filling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 xml:space="preserve">Beer Name</t>
        </is>
      </c>
      <c r="B3" s="1076" t="n"/>
      <c r="C3" s="1355">
        <f>Processing!C3</f>
        <v/>
      </c>
      <c r="D3" s="1981" t="inlineStr">
        <is>
          <t xml:space="preserve">Batch No.:</t>
        </is>
      </c>
      <c r="E3" s="1982">
        <f>'Recipe Sheet'!K3</f>
        <v/>
      </c>
      <c r="F3" s="1075" t="n"/>
      <c r="G3" s="1076" t="n"/>
      <c r="H3" s="1983" t="n"/>
      <c r="I3" s="1984" t="inlineStr">
        <is>
          <t xml:space="preserve">Filling Runs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 xml:space="preserve">Production Order Specifications</t>
        </is>
      </c>
      <c r="B5" s="1986" t="n"/>
      <c r="C5" s="1986" t="n"/>
      <c r="D5" s="1987" t="inlineStr">
        <is>
          <t xml:space="preserve">Checked By</t>
        </is>
      </c>
      <c r="E5" s="1988" t="inlineStr">
        <is>
          <t xml:space="preserve">Beer Risk Category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 xml:space="preserve">Date</t>
        </is>
      </c>
      <c r="N5" s="1991" t="inlineStr">
        <is>
          <t xml:space="preserve">Date</t>
        </is>
      </c>
      <c r="O5" s="1991" t="inlineStr">
        <is>
          <t xml:space="preserve">Date</t>
        </is>
      </c>
      <c r="P5" s="1991" t="inlineStr">
        <is>
          <t xml:space="preserve">Date</t>
        </is>
      </c>
      <c r="Q5" s="1991" t="inlineStr">
        <is>
          <t xml:space="preserve">Date</t>
        </is>
      </c>
      <c r="R5" s="1991" t="inlineStr">
        <is>
          <t xml:space="preserve">Date</t>
        </is>
      </c>
    </row>
    <row r="6" ht="15.75" customFormat="1" customHeight="1" s="1099">
      <c r="A6" s="1992" t="inlineStr">
        <is>
          <t xml:space="preserve">EAN Box Bottle 24x33cl:</t>
        </is>
      </c>
      <c r="B6" s="1115" t="n"/>
      <c r="C6" s="1993" t="n"/>
      <c r="D6" s="1994" t="n"/>
      <c r="E6" s="1995">
        <f>'Recipe Sheet'!N17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 xml:space="preserve">EAN Box Bottle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 xml:space="preserve">HBT No.</t>
        </is>
      </c>
      <c r="N7" s="1991" t="inlineStr">
        <is>
          <t xml:space="preserve">HBT No.</t>
        </is>
      </c>
      <c r="O7" s="1991" t="inlineStr">
        <is>
          <t xml:space="preserve">HBT No.</t>
        </is>
      </c>
      <c r="P7" s="1991" t="inlineStr">
        <is>
          <t xml:space="preserve">HBT No.</t>
        </is>
      </c>
      <c r="Q7" s="1991" t="inlineStr">
        <is>
          <t xml:space="preserve">HBT No.</t>
        </is>
      </c>
      <c r="R7" s="1991" t="inlineStr">
        <is>
          <t xml:space="preserve">HBT No.</t>
        </is>
      </c>
    </row>
    <row r="8" ht="15.75" customFormat="1" customHeight="1" s="1099">
      <c r="A8" s="1992" t="inlineStr">
        <is>
          <t xml:space="preserve">EAN Box Can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 xml:space="preserve">EAN Box Can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 xml:space="preserve">Start Filling</t>
        </is>
      </c>
      <c r="N9" s="1291" t="inlineStr">
        <is>
          <t xml:space="preserve">Start Filling</t>
        </is>
      </c>
      <c r="O9" s="1291" t="inlineStr">
        <is>
          <t xml:space="preserve">Start Filling</t>
        </is>
      </c>
      <c r="P9" s="1291" t="inlineStr">
        <is>
          <t xml:space="preserve">Start Filling</t>
        </is>
      </c>
      <c r="Q9" s="1291" t="inlineStr">
        <is>
          <t xml:space="preserve">Start Filling</t>
        </is>
      </c>
      <c r="R9" s="1291" t="inlineStr">
        <is>
          <t xml:space="preserve">Start Filling</t>
        </is>
      </c>
    </row>
    <row r="10" ht="15.75" customFormat="1" customHeight="1" s="1099">
      <c r="A10" s="1992" t="inlineStr">
        <is>
          <t xml:space="preserve">Bottle Coding: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 xml:space="preserve">Can Coding: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 xml:space="preserve">End Filling</t>
        </is>
      </c>
      <c r="N11" s="2002" t="inlineStr">
        <is>
          <t xml:space="preserve">End Filling</t>
        </is>
      </c>
      <c r="O11" s="2002" t="inlineStr">
        <is>
          <t xml:space="preserve">End Filling</t>
        </is>
      </c>
      <c r="P11" s="2002" t="inlineStr">
        <is>
          <t xml:space="preserve">End Filling</t>
        </is>
      </c>
      <c r="Q11" s="2002" t="inlineStr">
        <is>
          <t xml:space="preserve">End Filling</t>
        </is>
      </c>
      <c r="R11" s="2002" t="inlineStr">
        <is>
          <t xml:space="preserve">End Filling</t>
        </is>
      </c>
    </row>
    <row r="12" ht="15.75" customFormat="1" customHeight="1" s="1099">
      <c r="A12" s="1992" t="inlineStr">
        <is>
          <t xml:space="preserve">Keg Coding: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 xml:space="preserve">Day Number</t>
        </is>
      </c>
      <c r="C13" s="2003">
        <f>TODAY()-DATE(2023,12,31)</f>
        <v/>
      </c>
      <c r="D13" s="2000" t="n"/>
      <c r="H13" s="1217" t="n"/>
      <c r="I13" s="2005" t="inlineStr">
        <is>
          <t xml:space="preserve">Filled By: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 xml:space="preserve">Production Order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 xml:space="preserve">Bottle Filling 1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 xml:space="preserve">Bottle Type:</t>
        </is>
      </c>
      <c r="B16" s="2012" t="n"/>
      <c r="C16" s="1904" t="n"/>
      <c r="D16" s="2013" t="inlineStr">
        <is>
          <t xml:space="preserve">Box Type:</t>
        </is>
      </c>
      <c r="E16" s="1904" t="n"/>
      <c r="F16" s="1315" t="n"/>
      <c r="G16" s="1316" t="n"/>
      <c r="H16" s="1095" t="n"/>
      <c r="I16" s="2014" t="inlineStr">
        <is>
          <t xml:space="preserve">Sampled By: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 xml:space="preserve">Labels:</t>
        </is>
      </c>
      <c r="B17" s="2012" t="n"/>
      <c r="C17" s="1904" t="n"/>
      <c r="D17" s="2013" t="inlineStr">
        <is>
          <t xml:space="preserve">Box Coding:</t>
        </is>
      </c>
      <c r="E17" s="1904" t="n"/>
      <c r="F17" s="1904" t="n"/>
      <c r="G17" s="1904" t="n"/>
      <c r="H17" s="2004" t="n"/>
      <c r="I17" s="2015" t="inlineStr">
        <is>
          <t xml:space="preserve">First Pack Check (two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 xml:space="preserve">Bottle Coding:</t>
        </is>
      </c>
      <c r="B18" s="2012" t="n"/>
      <c r="C18" s="1904" t="n"/>
      <c r="D18" s="2013" t="inlineStr">
        <is>
          <t xml:space="preserve">Box EAN:</t>
        </is>
      </c>
      <c r="E18" s="1904" t="n"/>
      <c r="F18" s="1904" t="n"/>
      <c r="G18" s="1904" t="n"/>
      <c r="H18" s="1217" t="n"/>
      <c r="I18" s="2014" t="inlineStr">
        <is>
          <t xml:space="preserve">Filling Tube Detection Check First Pack: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 xml:space="preserve">Crown Cap:</t>
        </is>
      </c>
      <c r="B19" s="2015" t="n"/>
      <c r="C19" s="1904" t="n"/>
      <c r="D19" s="2016" t="inlineStr">
        <is>
          <t xml:space="preserve">Box Logo:</t>
        </is>
      </c>
      <c r="E19" s="2017" t="n"/>
      <c r="F19" s="2017" t="n"/>
      <c r="G19" s="2017" t="n"/>
      <c r="H19" s="1217" t="n"/>
      <c r="I19" s="2015" t="inlineStr">
        <is>
          <t xml:space="preserve">Filling Tube Detection Check End Of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 xml:space="preserve">Bottle Filling 2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 xml:space="preserve">Bursting Bottles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 xml:space="preserve">Bottle Type:</t>
        </is>
      </c>
      <c r="B21" s="2012" t="n"/>
      <c r="C21" s="1904" t="n"/>
      <c r="D21" s="2013" t="inlineStr">
        <is>
          <t xml:space="preserve">Box Type:</t>
        </is>
      </c>
      <c r="E21" s="2018" t="n"/>
      <c r="F21" s="2019" t="n"/>
      <c r="G21" s="1906" t="n"/>
      <c r="H21" s="1095" t="n"/>
      <c r="I21" s="2020" t="inlineStr">
        <is>
          <t xml:space="preserve">Bottle Bursts Under Control?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 xml:space="preserve">Labels:</t>
        </is>
      </c>
      <c r="B22" s="2012" t="n"/>
      <c r="C22" s="1904" t="n"/>
      <c r="D22" s="2013" t="inlineStr">
        <is>
          <t xml:space="preserve">Box Coding: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 xml:space="preserve">Bottle Coding:</t>
        </is>
      </c>
      <c r="B23" s="2012" t="n"/>
      <c r="C23" s="1904" t="n"/>
      <c r="D23" s="2013" t="inlineStr">
        <is>
          <t xml:space="preserve">Box EAN: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 xml:space="preserve">Spec</t>
        </is>
      </c>
      <c r="L23" s="2024" t="inlineStr">
        <is>
          <t>+/-</t>
        </is>
      </c>
      <c r="M23" s="2025" t="inlineStr">
        <is>
          <t xml:space="preserve">Value</t>
        </is>
      </c>
      <c r="N23" s="2026" t="inlineStr">
        <is>
          <t xml:space="preserve">Value</t>
        </is>
      </c>
      <c r="O23" s="2026" t="inlineStr">
        <is>
          <t xml:space="preserve">Value</t>
        </is>
      </c>
      <c r="P23" s="2026" t="inlineStr">
        <is>
          <t xml:space="preserve">Value</t>
        </is>
      </c>
      <c r="Q23" s="2026" t="inlineStr">
        <is>
          <t xml:space="preserve">Value</t>
        </is>
      </c>
      <c r="R23" s="2026" t="inlineStr">
        <is>
          <t xml:space="preserve">Value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 xml:space="preserve">Crown Cap:</t>
        </is>
      </c>
      <c r="B24" s="2015" t="n"/>
      <c r="C24" s="1904" t="n"/>
      <c r="D24" s="2016" t="inlineStr">
        <is>
          <t xml:space="preserve">Box Logo:</t>
        </is>
      </c>
      <c r="E24" s="2017" t="n"/>
      <c r="F24" s="2017" t="n"/>
      <c r="G24" s="2017" t="n"/>
      <c r="H24" s="1095" t="n"/>
      <c r="I24" s="1383" t="inlineStr">
        <is>
          <t xml:space="preserve"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 xml:space="preserve">Bottle Filling 3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 xml:space="preserve">TPO Bottle / Can 1</t>
        </is>
      </c>
      <c r="J25" s="1983" t="inlineStr">
        <is>
          <t>[ppb]</t>
        </is>
      </c>
      <c r="K25" s="1131">
        <f>'Recipe Sheet'!$M$16+'Recipe Sheet'!$M$17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 xml:space="preserve">Bottle Type:</t>
        </is>
      </c>
      <c r="B26" s="2012" t="n"/>
      <c r="C26" s="1904" t="n"/>
      <c r="D26" s="2013" t="inlineStr">
        <is>
          <t xml:space="preserve">Box Type:</t>
        </is>
      </c>
      <c r="E26" s="2018" t="n"/>
      <c r="F26" s="2019" t="n"/>
      <c r="G26" s="1906" t="n"/>
      <c r="H26" s="2036" t="n"/>
      <c r="I26" s="1401" t="inlineStr">
        <is>
          <t xml:space="preserve">HSO Bottle / Can 1</t>
        </is>
      </c>
      <c r="J26" s="1983" t="inlineStr">
        <is>
          <t>[ppb]</t>
        </is>
      </c>
      <c r="K26" s="1131">
        <f>'Recipe Sheet'!$M$16</f>
        <v/>
      </c>
      <c r="L26" s="2033">
        <f>'Recipe Sheet'!$L$16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 xml:space="preserve">Labels:</t>
        </is>
      </c>
      <c r="B27" s="2012" t="n"/>
      <c r="C27" s="1904" t="n"/>
      <c r="D27" s="2013" t="inlineStr">
        <is>
          <t xml:space="preserve">Box Coding:</t>
        </is>
      </c>
      <c r="E27" s="1904" t="n"/>
      <c r="F27" s="1904" t="n"/>
      <c r="G27" s="1904" t="n"/>
      <c r="H27" s="2036" t="n"/>
      <c r="I27" s="1401" t="inlineStr">
        <is>
          <t xml:space="preserve">DO Bottle / Can 1</t>
        </is>
      </c>
      <c r="J27" s="1983" t="inlineStr">
        <is>
          <t>[ppb]</t>
        </is>
      </c>
      <c r="K27" s="1131">
        <f>'Recipe Sheet'!$M$17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 xml:space="preserve">Bottle Coding:</t>
        </is>
      </c>
      <c r="B28" s="2012" t="n"/>
      <c r="C28" s="1904" t="n"/>
      <c r="D28" s="2013" t="inlineStr">
        <is>
          <t xml:space="preserve">Box EAN: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 xml:space="preserve">Crown Cap:</t>
        </is>
      </c>
      <c r="B29" s="2015" t="n"/>
      <c r="C29" s="1904" t="n"/>
      <c r="D29" s="2016" t="inlineStr">
        <is>
          <t xml:space="preserve">Box Logo:</t>
        </is>
      </c>
      <c r="E29" s="2017" t="n"/>
      <c r="F29" s="2017" t="n"/>
      <c r="G29" s="2017" t="n"/>
      <c r="H29" s="2039" t="n"/>
      <c r="I29" s="2040" t="inlineStr">
        <is>
          <t xml:space="preserve">Pressure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 xml:space="preserve">Can Filling 1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 xml:space="preserve">Temp (°C)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 xml:space="preserve">Can Type:</t>
        </is>
      </c>
      <c r="B31" s="2012" t="n"/>
      <c r="C31" s="1904" t="n"/>
      <c r="D31" s="2013" t="inlineStr">
        <is>
          <t xml:space="preserve">Box Type:</t>
        </is>
      </c>
      <c r="E31" s="2018" t="n"/>
      <c r="F31" s="2019" t="n"/>
      <c r="G31" s="1906" t="n"/>
      <c r="H31" s="2039" t="n"/>
      <c r="I31" s="1401" t="inlineStr">
        <is>
          <t xml:space="preserve">CO2 Bottle / Can 1 (20°C)</t>
        </is>
      </c>
      <c r="J31" s="1983" t="inlineStr">
        <is>
          <t>[g/l]</t>
        </is>
      </c>
      <c r="K31" s="1127">
        <f>'Recipe Sheet'!$M$13</f>
        <v/>
      </c>
      <c r="L31" s="2033">
        <f>'Recipe Sheet'!$L$13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 xml:space="preserve">Labels:</t>
        </is>
      </c>
      <c r="B32" s="2012" t="n"/>
      <c r="C32" s="1904" t="n"/>
      <c r="D32" s="2013" t="inlineStr">
        <is>
          <t xml:space="preserve">Box Coding:</t>
        </is>
      </c>
      <c r="E32" s="1904" t="n"/>
      <c r="F32" s="1904" t="n"/>
      <c r="G32" s="1904" t="n"/>
      <c r="H32" s="2041" t="n"/>
      <c r="I32" s="2042" t="inlineStr">
        <is>
          <t xml:space="preserve">CO2 Keg 1</t>
        </is>
      </c>
      <c r="J32" s="2043" t="inlineStr">
        <is>
          <t>[g/l]</t>
        </is>
      </c>
      <c r="K32" s="1127">
        <f>'Recipe Sheet'!$M$15</f>
        <v/>
      </c>
      <c r="L32" s="2033">
        <f>'Recipe Sheet'!$L$15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 xml:space="preserve">Can Coding:</t>
        </is>
      </c>
      <c r="B33" s="2012" t="n"/>
      <c r="C33" s="1904" t="n"/>
      <c r="D33" s="2013" t="inlineStr">
        <is>
          <t xml:space="preserve">Box EAN:</t>
        </is>
      </c>
      <c r="E33" s="1904" t="n"/>
      <c r="F33" s="1904" t="n"/>
      <c r="G33" s="1904" t="n"/>
      <c r="H33" s="2045" t="n"/>
      <c r="I33" s="2046" t="inlineStr">
        <is>
          <t xml:space="preserve">O2 Keg 1</t>
        </is>
      </c>
      <c r="J33" s="2047" t="inlineStr">
        <is>
          <t>[ppb]</t>
        </is>
      </c>
      <c r="K33" s="2048">
        <f>'Recipe Sheet'!$M$17</f>
        <v/>
      </c>
      <c r="L33" s="2049">
        <f>'Recipe Sheet'!$L$17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 xml:space="preserve">Can End:</t>
        </is>
      </c>
      <c r="B34" s="2015" t="n"/>
      <c r="C34" s="1904" t="n"/>
      <c r="D34" s="2016" t="inlineStr">
        <is>
          <t xml:space="preserve">Box Logo:</t>
        </is>
      </c>
      <c r="E34" s="2017" t="n"/>
      <c r="F34" s="2017" t="n"/>
      <c r="G34" s="2017" t="n"/>
      <c r="H34" s="2051" t="n"/>
      <c r="I34" s="1383" t="inlineStr">
        <is>
          <t xml:space="preserve"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 xml:space="preserve">Can Filling 2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 xml:space="preserve">TPO Bottle / Can 2</t>
        </is>
      </c>
      <c r="J35" s="1983" t="inlineStr">
        <is>
          <t>[ppb]</t>
        </is>
      </c>
      <c r="K35" s="1131">
        <f>'Recipe Sheet'!$M$16+'Recipe Sheet'!$M$17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 xml:space="preserve">Can Type:</t>
        </is>
      </c>
      <c r="B36" s="2012" t="n"/>
      <c r="C36" s="1904" t="n"/>
      <c r="D36" s="2013" t="inlineStr">
        <is>
          <t xml:space="preserve">Box Type:</t>
        </is>
      </c>
      <c r="E36" s="2018" t="n"/>
      <c r="F36" s="2019" t="n"/>
      <c r="G36" s="1906" t="n"/>
      <c r="H36" s="2052" t="n"/>
      <c r="I36" s="1401" t="inlineStr">
        <is>
          <t xml:space="preserve">HSO Bottle / Can 2</t>
        </is>
      </c>
      <c r="J36" s="1983" t="inlineStr">
        <is>
          <t>[ppb]</t>
        </is>
      </c>
      <c r="K36" s="1131">
        <f>'Recipe Sheet'!$M$16</f>
        <v/>
      </c>
      <c r="L36" s="2033">
        <f>'Recipe Sheet'!$L$16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 xml:space="preserve">Labels:</t>
        </is>
      </c>
      <c r="B37" s="2012" t="n"/>
      <c r="C37" s="1904" t="n"/>
      <c r="D37" s="2013" t="inlineStr">
        <is>
          <t xml:space="preserve">Box Coding:</t>
        </is>
      </c>
      <c r="E37" s="1904" t="n"/>
      <c r="F37" s="1904" t="n"/>
      <c r="G37" s="1904" t="n"/>
      <c r="H37" s="2052" t="n"/>
      <c r="I37" s="1401" t="inlineStr">
        <is>
          <t xml:space="preserve">DO Bottle / Can 2</t>
        </is>
      </c>
      <c r="J37" s="1983" t="inlineStr">
        <is>
          <t>[ppb]</t>
        </is>
      </c>
      <c r="K37" s="1131">
        <f>'Recipe Sheet'!$M$17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 xml:space="preserve">Can Coding:</t>
        </is>
      </c>
      <c r="B38" s="2012" t="n"/>
      <c r="C38" s="1904" t="n"/>
      <c r="D38" s="2013" t="inlineStr">
        <is>
          <t xml:space="preserve">Box EAN: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 xml:space="preserve">Can End:</t>
        </is>
      </c>
      <c r="B39" s="2015" t="n"/>
      <c r="C39" s="1904" t="n"/>
      <c r="D39" s="2016" t="inlineStr">
        <is>
          <t xml:space="preserve">Box Logo:</t>
        </is>
      </c>
      <c r="E39" s="2017" t="n"/>
      <c r="F39" s="2017" t="n"/>
      <c r="G39" s="2017" t="n"/>
      <c r="I39" s="2040" t="inlineStr">
        <is>
          <t xml:space="preserve">Pressure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 xml:space="preserve">Keg Filling 1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 xml:space="preserve">Temp (°C)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 xml:space="preserve">Keg Size: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 xml:space="preserve">CO2 Bottle / Can 2 (20°C)</t>
        </is>
      </c>
      <c r="J41" s="1983" t="inlineStr">
        <is>
          <t>[g/l]</t>
        </is>
      </c>
      <c r="K41" s="1127">
        <f>'Recipe Sheet'!$M$13</f>
        <v/>
      </c>
      <c r="L41" s="2033">
        <f>'Recipe Sheet'!$L$13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 xml:space="preserve">EAN: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 xml:space="preserve">CO2 Keg 2</t>
        </is>
      </c>
      <c r="J42" s="2043" t="inlineStr">
        <is>
          <t>[g/l]</t>
        </is>
      </c>
      <c r="K42" s="1127">
        <f>'Recipe Sheet'!$M$15</f>
        <v/>
      </c>
      <c r="L42" s="2033">
        <f>'Recipe Sheet'!$L$15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 xml:space="preserve">Keg Filling 2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 xml:space="preserve">O2 Keg 2</t>
        </is>
      </c>
      <c r="J43" s="2047" t="inlineStr">
        <is>
          <t>[ppb]</t>
        </is>
      </c>
      <c r="K43" s="2048">
        <f>'Recipe Sheet'!$M$17</f>
        <v/>
      </c>
      <c r="L43" s="2049">
        <f>'Recipe Sheet'!$L$17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 xml:space="preserve">Keg Size: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 xml:space="preserve"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 xml:space="preserve">EAN: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 xml:space="preserve">TPO Bottle / Can 3</t>
        </is>
      </c>
      <c r="J45" s="1983" t="inlineStr">
        <is>
          <t>[ppb]</t>
        </is>
      </c>
      <c r="K45" s="1131">
        <f>'Recipe Sheet'!$M$16+'Recipe Sheet'!$M$17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 xml:space="preserve">HSO Bottle / Can 3</t>
        </is>
      </c>
      <c r="J46" s="1983" t="inlineStr">
        <is>
          <t>[ppb]</t>
        </is>
      </c>
      <c r="K46" s="1131">
        <f>'Recipe Sheet'!$M$16</f>
        <v/>
      </c>
      <c r="L46" s="2033">
        <f>'Recipe Sheet'!$L$16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 xml:space="preserve">Production Order Comments: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 xml:space="preserve">DO Bottle / Can 3</t>
        </is>
      </c>
      <c r="J47" s="1983" t="inlineStr">
        <is>
          <t>[ppb]</t>
        </is>
      </c>
      <c r="K47" s="1131">
        <f>'Recipe Sheet'!$M$17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IF(Processing!N7=5.6," ","ATTENTION: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 xml:space="preserve">Pressure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 xml:space="preserve">Temp (°C)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 xml:space="preserve">CO2 Bottle / Can 3 (20°C)</t>
        </is>
      </c>
      <c r="J51" s="1983" t="inlineStr">
        <is>
          <t>[g/l]</t>
        </is>
      </c>
      <c r="K51" s="1127">
        <f>'Recipe Sheet'!$M$13</f>
        <v/>
      </c>
      <c r="L51" s="2033">
        <f>'Recipe Sheet'!$L$13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 xml:space="preserve">Availability</t>
        </is>
      </c>
      <c r="D52" s="2066" t="inlineStr">
        <is>
          <t xml:space="preserve">Performance</t>
        </is>
      </c>
      <c r="E52" s="2066" t="inlineStr">
        <is>
          <t xml:space="preserve">Quality</t>
        </is>
      </c>
      <c r="F52" s="2066" t="inlineStr">
        <is>
          <t>OEE</t>
        </is>
      </c>
      <c r="I52" s="2042" t="inlineStr">
        <is>
          <t xml:space="preserve">CO2 Keg 3</t>
        </is>
      </c>
      <c r="J52" s="2043" t="inlineStr">
        <is>
          <t>[g/l]</t>
        </is>
      </c>
      <c r="K52" s="1127">
        <f>'Recipe Sheet'!$M$15</f>
        <v/>
      </c>
      <c r="L52" s="2033">
        <f>'Recipe Sheet'!$L$15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 xml:space="preserve">bottle</t>
        </is>
      </c>
      <c r="B53" s="2067" t="n"/>
      <c r="C53" s="2068" t="n"/>
      <c r="D53" s="2068" t="n"/>
      <c r="E53" s="2068" t="n"/>
      <c r="F53" s="2068" t="n"/>
      <c r="I53" s="2046" t="inlineStr">
        <is>
          <t xml:space="preserve">O2 Keg 3</t>
        </is>
      </c>
      <c r="J53" s="2047" t="inlineStr">
        <is>
          <t>[ppb]</t>
        </is>
      </c>
      <c r="K53" s="2048">
        <f>'Recipe Sheet'!$M$17</f>
        <v/>
      </c>
      <c r="L53" s="2049">
        <f>'Recipe Sheet'!$L$17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 xml:space="preserve"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 xml:space="preserve">keg</t>
        </is>
      </c>
      <c r="B55" s="2069" t="n"/>
      <c r="C55" s="2070" t="n"/>
      <c r="D55" s="2070" t="n"/>
      <c r="E55" s="2070" t="n"/>
      <c r="F55" s="2070" t="n"/>
      <c r="I55" s="1401" t="inlineStr">
        <is>
          <t xml:space="preserve">TPO Bottle / Can 4</t>
        </is>
      </c>
      <c r="J55" s="1983" t="inlineStr">
        <is>
          <t>[ppb]</t>
        </is>
      </c>
      <c r="K55" s="1131">
        <f>'Recipe Sheet'!$M$16+'Recipe Sheet'!$M$17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 xml:space="preserve">HSO Bottle / Can 4</t>
        </is>
      </c>
      <c r="J56" s="1983" t="inlineStr">
        <is>
          <t>[ppb]</t>
        </is>
      </c>
      <c r="K56" s="1131">
        <f>'Recipe Sheet'!$M$16</f>
        <v/>
      </c>
      <c r="L56" s="2033">
        <f>'Recipe Sheet'!$L$16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 xml:space="preserve">DO Bottle / Can 4</t>
        </is>
      </c>
      <c r="J57" s="1983" t="inlineStr">
        <is>
          <t>[ppb]</t>
        </is>
      </c>
      <c r="K57" s="1131">
        <f>'Recipe Sheet'!$M$17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 xml:space="preserve">Consumption</t>
        </is>
      </c>
      <c r="B58" s="2065" t="n"/>
      <c r="C58" s="2066" t="inlineStr">
        <is>
          <t xml:space="preserve">Empties</t>
        </is>
      </c>
      <c r="D58" s="2066" t="inlineStr">
        <is>
          <t xml:space="preserve">Underfills</t>
        </is>
      </c>
      <c r="E58" s="2066" t="inlineStr">
        <is>
          <t xml:space="preserve">Unlabelled</t>
        </is>
      </c>
      <c r="F58" s="2066" t="inlineStr">
        <is>
          <t xml:space="preserve">Loss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 xml:space="preserve">bottle</t>
        </is>
      </c>
      <c r="B59" s="2067" t="n"/>
      <c r="C59" s="2074">
        <f>'Filling Report'!M48</f>
        <v/>
      </c>
      <c r="D59" s="2068" t="n"/>
      <c r="E59" s="2068" t="n"/>
      <c r="F59" s="2075">
        <f>'Filling Report'!R9</f>
        <v/>
      </c>
      <c r="I59" s="2040" t="inlineStr">
        <is>
          <t xml:space="preserve">Pressure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'Filling Report'!M76</f>
        <v/>
      </c>
      <c r="D60" s="2070" t="n"/>
      <c r="E60" s="2077">
        <f>IFERROR('Filling Report'!M81/'Filling Report'!K81,"")</f>
        <v/>
      </c>
      <c r="F60" s="2070" t="n"/>
      <c r="I60" s="2040" t="inlineStr">
        <is>
          <t xml:space="preserve">Temp (°C)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 xml:space="preserve">keg</t>
        </is>
      </c>
      <c r="B61" s="2069" t="n"/>
      <c r="C61" s="2078">
        <f>SUM('Filling Report'!M85:M87,'Filling Report'!M89:M92)</f>
        <v/>
      </c>
      <c r="D61" s="2070" t="n"/>
      <c r="E61" s="2070" t="n"/>
      <c r="F61" s="2070" t="n"/>
      <c r="I61" s="1401" t="inlineStr">
        <is>
          <t xml:space="preserve">CO2 Bottle / Can 4 (20°C)</t>
        </is>
      </c>
      <c r="J61" s="1983" t="inlineStr">
        <is>
          <t>[g/l]</t>
        </is>
      </c>
      <c r="K61" s="1127">
        <f>'Recipe Sheet'!$M$13</f>
        <v/>
      </c>
      <c r="L61" s="2033">
        <f>'Recipe Sheet'!$L$13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 xml:space="preserve">CO2 Keg 4</t>
        </is>
      </c>
      <c r="J62" s="2043" t="inlineStr">
        <is>
          <t>[g/l]</t>
        </is>
      </c>
      <c r="K62" s="1127">
        <f>'Recipe Sheet'!$M$15</f>
        <v/>
      </c>
      <c r="L62" s="2033">
        <f>'Recipe Sheet'!$L$15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 xml:space="preserve">O2 Keg 4</t>
        </is>
      </c>
      <c r="J63" s="2047" t="inlineStr">
        <is>
          <t>[ppb]</t>
        </is>
      </c>
      <c r="K63" s="2048">
        <f>'Recipe Sheet'!$M$17</f>
        <v/>
      </c>
      <c r="L63" s="2049">
        <f>'Recipe Sheet'!$L$17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 xml:space="preserve"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 xml:space="preserve">CO2 bottle/can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 xml:space="preserve">TPO Bottle / Can 5</t>
        </is>
      </c>
      <c r="J65" s="1983" t="inlineStr">
        <is>
          <t>[ppb]</t>
        </is>
      </c>
      <c r="K65" s="1131">
        <f>'Recipe Sheet'!$M$16+'Recipe Sheet'!$M$17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 xml:space="preserve">HSO bottle/can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 xml:space="preserve">HSO Bottle / Can 5</t>
        </is>
      </c>
      <c r="J66" s="1983" t="inlineStr">
        <is>
          <t>[ppb]</t>
        </is>
      </c>
      <c r="K66" s="1131">
        <f>'Recipe Sheet'!$M$16</f>
        <v/>
      </c>
      <c r="L66" s="2033">
        <f>'Recipe Sheet'!$L$16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 xml:space="preserve">DO bottle/can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 xml:space="preserve">DO Bottle / Can 5</t>
        </is>
      </c>
      <c r="J67" s="1983" t="inlineStr">
        <is>
          <t>[ppb]</t>
        </is>
      </c>
      <c r="K67" s="1131">
        <f>'Recipe Sheet'!$M$17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 xml:space="preserve">TPO bottle/can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 xml:space="preserve">CO2 keg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 xml:space="preserve">Pressure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 xml:space="preserve">DO keg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 xml:space="preserve">Temp (°C)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 xml:space="preserve">CO2 Bottle / Can 5 (20°C)</t>
        </is>
      </c>
      <c r="J71" s="1983" t="inlineStr">
        <is>
          <t>[g/l]</t>
        </is>
      </c>
      <c r="K71" s="1127">
        <f>'Recipe Sheet'!$M$13</f>
        <v/>
      </c>
      <c r="L71" s="2033">
        <f>'Recipe Sheet'!$L$13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 xml:space="preserve">CO2 Keg 5</t>
        </is>
      </c>
      <c r="J72" s="2043" t="inlineStr">
        <is>
          <t>[g/l]</t>
        </is>
      </c>
      <c r="K72" s="1127">
        <f>'Recipe Sheet'!$M$15</f>
        <v/>
      </c>
      <c r="L72" s="2033">
        <f>'Recipe Sheet'!$L$15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 xml:space="preserve">O2 Keg 5</t>
        </is>
      </c>
      <c r="J73" s="2047" t="inlineStr">
        <is>
          <t>[ppb]</t>
        </is>
      </c>
      <c r="K73" s="2048">
        <f>'Recipe Sheet'!$M$17</f>
        <v/>
      </c>
      <c r="L73" s="2049">
        <f>'Recipe Sheet'!$L$17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 xml:space="preserve"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 xml:space="preserve">TPO Bottle / Can 6</t>
        </is>
      </c>
      <c r="J75" s="1983" t="inlineStr">
        <is>
          <t>[ppb]</t>
        </is>
      </c>
      <c r="K75" s="1131">
        <f>'Recipe Sheet'!$M$16+'Recipe Sheet'!$M$17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 xml:space="preserve">HSO Bottle / Can 6</t>
        </is>
      </c>
      <c r="J76" s="1983" t="inlineStr">
        <is>
          <t>[ppb]</t>
        </is>
      </c>
      <c r="K76" s="1131">
        <f>'Recipe Sheet'!$M$16</f>
        <v/>
      </c>
      <c r="L76" s="2033">
        <f>'Recipe Sheet'!$L$16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 xml:space="preserve">DO Bottle / Can 6</t>
        </is>
      </c>
      <c r="J77" s="1983" t="inlineStr">
        <is>
          <t>[ppb]</t>
        </is>
      </c>
      <c r="K77" s="1131">
        <f>'Recipe Sheet'!$M$17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 xml:space="preserve">Pressure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 xml:space="preserve">Temp (°C)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 xml:space="preserve">CO2 Bottle / Can 6 (20°C)</t>
        </is>
      </c>
      <c r="J81" s="1983" t="inlineStr">
        <is>
          <t>[g/l]</t>
        </is>
      </c>
      <c r="K81" s="1127">
        <f>'Recipe Sheet'!$M$13</f>
        <v/>
      </c>
      <c r="L81" s="2033">
        <f>'Recipe Sheet'!$L$13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 xml:space="preserve">CO2 Keg 6</t>
        </is>
      </c>
      <c r="J82" s="2043" t="inlineStr">
        <is>
          <t>[g/l]</t>
        </is>
      </c>
      <c r="K82" s="1127">
        <f>'Recipe Sheet'!$M$15</f>
        <v/>
      </c>
      <c r="L82" s="2033">
        <f>'Recipe Sheet'!$L$15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 xml:space="preserve">O2 Keg 6</t>
        </is>
      </c>
      <c r="J83" s="2047" t="inlineStr">
        <is>
          <t>[ppb]</t>
        </is>
      </c>
      <c r="K83" s="2048">
        <f>'Recipe Sheet'!$M$17</f>
        <v/>
      </c>
      <c r="L83" s="2049">
        <f>'Recipe Sheet'!$L$17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 xml:space="preserve"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 xml:space="preserve">TPO Bottle / Can 7</t>
        </is>
      </c>
      <c r="J85" s="1983" t="inlineStr">
        <is>
          <t>[ppb]</t>
        </is>
      </c>
      <c r="K85" s="1131">
        <f>'Recipe Sheet'!$M$16+'Recipe Sheet'!$M$17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 xml:space="preserve">HSO Bottle / Can 7</t>
        </is>
      </c>
      <c r="J86" s="1983" t="inlineStr">
        <is>
          <t>[ppb]</t>
        </is>
      </c>
      <c r="K86" s="1131">
        <f>'Recipe Sheet'!$M$16</f>
        <v/>
      </c>
      <c r="L86" s="2033">
        <f>'Recipe Sheet'!$L$16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 xml:space="preserve">DO Bottle / Can 7</t>
        </is>
      </c>
      <c r="J87" s="1983" t="inlineStr">
        <is>
          <t>[ppb]</t>
        </is>
      </c>
      <c r="K87" s="1131">
        <f>'Recipe Sheet'!$M$17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 xml:space="preserve">Pressure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 xml:space="preserve">Temp (°C)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 xml:space="preserve">CO2 Bottle / Can 7 (20°C)</t>
        </is>
      </c>
      <c r="J91" s="1983" t="inlineStr">
        <is>
          <t>[g/l]</t>
        </is>
      </c>
      <c r="K91" s="1127">
        <f>'Recipe Sheet'!$M$13</f>
        <v/>
      </c>
      <c r="L91" s="2033">
        <f>'Recipe Sheet'!$L$13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 xml:space="preserve">CO2 Keg 7</t>
        </is>
      </c>
      <c r="J92" s="2043" t="inlineStr">
        <is>
          <t>[g/l]</t>
        </is>
      </c>
      <c r="K92" s="1127">
        <f>'Recipe Sheet'!$M$15</f>
        <v/>
      </c>
      <c r="L92" s="2033">
        <f>'Recipe Sheet'!$L$15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 xml:space="preserve">O2 Keg 7</t>
        </is>
      </c>
      <c r="J93" s="2047" t="inlineStr">
        <is>
          <t>[ppb]</t>
        </is>
      </c>
      <c r="K93" s="2048">
        <f>'Recipe Sheet'!$M$17</f>
        <v/>
      </c>
      <c r="L93" s="2049">
        <f>'Recipe Sheet'!$L$17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 xml:space="preserve">DO Bottle / Can 1</t>
        </is>
      </c>
      <c r="J98" s="1521" t="inlineStr">
        <is>
          <t>[ppb]</t>
        </is>
      </c>
      <c r="K98" s="2092">
        <f>'Recipe Sheet'!$M$17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 xml:space="preserve">Pressure</t>
        </is>
      </c>
      <c r="J100" s="1521" t="n"/>
      <c r="K100" s="2092" t="n"/>
    </row>
    <row r="101" hidden="1" ht="13.5" customHeight="1" s="1339">
      <c r="I101" s="1099" t="inlineStr">
        <is>
          <t xml:space="preserve">Temp (°C)</t>
        </is>
      </c>
      <c r="J101" s="1521" t="n"/>
      <c r="K101" s="2092" t="n"/>
    </row>
    <row r="102" hidden="1" ht="13.5" customHeight="1" s="1339">
      <c r="I102" s="1425" t="inlineStr">
        <is>
          <t xml:space="preserve">CO2 Bottle / Can 1 (20°C)</t>
        </is>
      </c>
      <c r="J102" s="1521" t="inlineStr">
        <is>
          <t>[g/l]</t>
        </is>
      </c>
      <c r="K102" s="2093">
        <f>'Recipe Sheet'!$M$13</f>
        <v/>
      </c>
    </row>
    <row r="103" hidden="1" ht="13.5" customHeight="1" s="1339">
      <c r="I103" s="1425" t="inlineStr">
        <is>
          <t xml:space="preserve">CO2 Keg 1</t>
        </is>
      </c>
      <c r="J103" s="1521" t="inlineStr">
        <is>
          <t>[g/l]</t>
        </is>
      </c>
      <c r="K103" s="2093">
        <f>'Recipe Sheet'!$M$15</f>
        <v/>
      </c>
    </row>
    <row r="104" hidden="1" ht="13.5" customHeight="1" s="1339">
      <c r="I104" s="1425" t="inlineStr">
        <is>
          <t xml:space="preserve">O2 Keg 1</t>
        </is>
      </c>
      <c r="J104" s="1521" t="inlineStr">
        <is>
          <t>[ppb]</t>
        </is>
      </c>
      <c r="K104" s="2093">
        <f>'Recipe Sheet'!$M$17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"No Logo,Logo (see Recipe Sheet)"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"Standard,Deviating (see comments)"</formula1>
      <formula2>0</formula2>
    </dataValidation>
    <dataValidation sqref="C42 C45 E18 E23 E28 E33 E38 H15 H20" showDropDown="0" showInputMessage="1" showErrorMessage="1" allowBlank="1" type="list" errorStyle="stop" operator="between">
      <formula1>"No EAN Code,Add EAN Code (see specifications)"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BNR,75cl,Other (see comments)"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3,Blanco,Other (see comments)"</formula1>
      <formula2>0</formula2>
    </dataValidation>
    <dataValidation sqref="C19 C24 C29" showDropDown="0" showInputMessage="1" showErrorMessage="1" allowBlank="1" type="list" errorStyle="stop" operator="between">
      <formula1>"Jopen KK,Blue KK,Silver KK,Black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6x75cl,Other (see comments)"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24x33cl,Other (see comments)"</formula1>
      <formula2>0</formula2>
    </dataValidation>
    <dataValidation sqref="C41 C44" showDropDown="0" showInputMessage="1" showErrorMessage="1" allowBlank="1" type="list" errorStyle="stop" operator="between">
      <formula1>"20L KU Keg,30L Jopen Keg,50L Jopen Keg,20L Gebr. Door Vrouwen Keg,20L Other Keg,20L KeyKeg,30L KeyKeg,Other (see comments)"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"Silver,Black"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2" activeCellId="0" sqref="I42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 xml:space="preserve">Filling Report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 xml:space="preserve">TOTALS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Beer Name</t>
        </is>
      </c>
      <c r="C3" s="2105">
        <f>Filling!C3</f>
        <v/>
      </c>
      <c r="D3" s="1075" t="n"/>
      <c r="E3" s="1076" t="n"/>
      <c r="F3" s="2026" t="inlineStr">
        <is>
          <t xml:space="preserve">Batch No.</t>
        </is>
      </c>
      <c r="G3" s="1076" t="n"/>
      <c r="H3" s="2105">
        <f>'Recipe Sheet'!K3</f>
        <v/>
      </c>
      <c r="I3" s="1076" t="n"/>
      <c r="M3" s="2106" t="inlineStr">
        <is>
          <t xml:space="preserve">Total From Processing (Litres)</t>
        </is>
      </c>
      <c r="O3" s="2010" t="inlineStr">
        <is>
          <t xml:space="preserve">Total Filled</t>
        </is>
      </c>
      <c r="Q3" s="2107" t="inlineStr">
        <is>
          <t xml:space="preserve">To Do / Remaining / Loss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 xml:space="preserve">Filling Comments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 xml:space="preserve">(litres)</t>
        </is>
      </c>
      <c r="Q5" s="2116" t="inlineStr">
        <is>
          <t xml:space="preserve">(litres)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 xml:space="preserve">Date</t>
        </is>
      </c>
      <c r="E6" s="2023" t="inlineStr">
        <is>
          <t xml:space="preserve">Date</t>
        </is>
      </c>
      <c r="F6" s="2023" t="inlineStr">
        <is>
          <t xml:space="preserve">Date</t>
        </is>
      </c>
      <c r="G6" s="2023" t="inlineStr">
        <is>
          <t xml:space="preserve">Date</t>
        </is>
      </c>
      <c r="H6" s="2023" t="inlineStr">
        <is>
          <t xml:space="preserve">Date</t>
        </is>
      </c>
      <c r="I6" s="2023" t="inlineStr">
        <is>
          <t xml:space="preserve">Date</t>
        </is>
      </c>
      <c r="J6" s="1521" t="n"/>
      <c r="K6" s="1521" t="n"/>
      <c r="L6" s="1521" t="n"/>
      <c r="M6" s="2119">
        <f>Processing!D63*100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 xml:space="preserve">HBT No.</t>
        </is>
      </c>
      <c r="E8" s="2128" t="inlineStr">
        <is>
          <t xml:space="preserve">HBT No.</t>
        </is>
      </c>
      <c r="F8" s="2128" t="inlineStr">
        <is>
          <t xml:space="preserve">HBT No.</t>
        </is>
      </c>
      <c r="G8" s="2128" t="inlineStr">
        <is>
          <t xml:space="preserve">HBT No.</t>
        </is>
      </c>
      <c r="H8" s="2128" t="inlineStr">
        <is>
          <t xml:space="preserve">HBT No.</t>
        </is>
      </c>
      <c r="I8" s="2128" t="inlineStr">
        <is>
          <t xml:space="preserve">HBT No.</t>
        </is>
      </c>
      <c r="J8" s="1521" t="n"/>
      <c r="K8" s="1521" t="n"/>
      <c r="L8" s="1521" t="n"/>
      <c r="M8" s="2129" t="inlineStr">
        <is>
          <t xml:space="preserve">Total Litres Bottle</t>
        </is>
      </c>
      <c r="N8" s="1114" t="n"/>
      <c r="O8" s="1115" t="n"/>
      <c r="P8" s="1521" t="n"/>
      <c r="Q8" s="2130" t="inlineStr">
        <is>
          <t xml:space="preserve">Total Litres Can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 xml:space="preserve">Volume (hl)</t>
        </is>
      </c>
      <c r="E10" s="2134" t="inlineStr">
        <is>
          <t xml:space="preserve">Volume (hl)</t>
        </is>
      </c>
      <c r="F10" s="2134" t="inlineStr">
        <is>
          <t xml:space="preserve">Volume (hl)</t>
        </is>
      </c>
      <c r="G10" s="2134" t="inlineStr">
        <is>
          <t xml:space="preserve">Volume (hl)</t>
        </is>
      </c>
      <c r="H10" s="2134" t="inlineStr">
        <is>
          <t xml:space="preserve">Volume (hl)</t>
        </is>
      </c>
      <c r="I10" s="2134" t="inlineStr">
        <is>
          <t xml:space="preserve">Volume (hl)</t>
        </is>
      </c>
      <c r="J10" s="1521" t="n"/>
      <c r="K10" s="1521" t="n"/>
      <c r="L10" s="1521" t="n"/>
      <c r="M10" s="2129" t="inlineStr">
        <is>
          <t xml:space="preserve">Total Litres Keg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SUM(M34:M41)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 xml:space="preserve">Total Blended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 xml:space="preserve">Filled In By</t>
        </is>
      </c>
      <c r="C13" s="2026" t="inlineStr">
        <is>
          <t xml:space="preserve">Name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SUM(K44:K46)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 xml:space="preserve">BOOK IN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 xml:space="preserve">FILLED BOTTLES</t>
        </is>
      </c>
      <c r="C16" s="2147" t="inlineStr">
        <is>
          <t>EAN</t>
        </is>
      </c>
      <c r="D16" s="2010" t="inlineStr">
        <is>
          <t xml:space="preserve">Quantity</t>
        </is>
      </c>
      <c r="E16" s="2010" t="inlineStr">
        <is>
          <t xml:space="preserve">Quantity</t>
        </is>
      </c>
      <c r="F16" s="2010" t="inlineStr">
        <is>
          <t xml:space="preserve">Quantity</t>
        </is>
      </c>
      <c r="G16" s="2010" t="inlineStr">
        <is>
          <t xml:space="preserve">Quantity</t>
        </is>
      </c>
      <c r="H16" s="2010" t="inlineStr">
        <is>
          <t xml:space="preserve">Quantity</t>
        </is>
      </c>
      <c r="I16" s="2010" t="inlineStr">
        <is>
          <t xml:space="preserve">Quantity</t>
        </is>
      </c>
      <c r="J16" s="2112" t="n"/>
      <c r="K16" s="2148" t="inlineStr">
        <is>
          <t xml:space="preserve">TOTALS</t>
        </is>
      </c>
      <c r="L16" s="1521" t="n"/>
      <c r="M16" s="2148" t="inlineStr">
        <is>
          <t xml:space="preserve">LITRES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 xml:space="preserve">Box 24x33cl</t>
        </is>
      </c>
      <c r="C17" s="2149">
        <f>Filling!C6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 xml:space="preserve">Box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 xml:space="preserve">Box 12x33cl</t>
        </is>
      </c>
      <c r="C20" s="2149">
        <f>Filling!C7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 xml:space="preserve">Box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 xml:space="preserve">Box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 xml:space="preserve">Box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 xml:space="preserve">Crate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'Recipe Sheet'!$M$13</f>
        <v/>
      </c>
      <c r="L26" s="2112" t="n"/>
      <c r="M26" s="2112" t="n"/>
    </row>
    <row r="27" outlineLevel="1" ht="15" customFormat="1" customHeight="1" s="1425">
      <c r="B27" s="2146" t="inlineStr">
        <is>
          <t xml:space="preserve">FILLED CANS</t>
        </is>
      </c>
      <c r="C27" s="2147" t="inlineStr">
        <is>
          <t xml:space="preserve">Comments</t>
        </is>
      </c>
      <c r="D27" s="2010" t="inlineStr">
        <is>
          <t xml:space="preserve">Quantity</t>
        </is>
      </c>
      <c r="E27" s="2010" t="inlineStr">
        <is>
          <t xml:space="preserve">Quantity</t>
        </is>
      </c>
      <c r="F27" s="2010" t="inlineStr">
        <is>
          <t xml:space="preserve">Quantity</t>
        </is>
      </c>
      <c r="G27" s="2010" t="inlineStr">
        <is>
          <t xml:space="preserve">Quantity</t>
        </is>
      </c>
      <c r="H27" s="2010" t="inlineStr">
        <is>
          <t xml:space="preserve">Quantity</t>
        </is>
      </c>
      <c r="I27" s="2010" t="inlineStr">
        <is>
          <t xml:space="preserve">Quantity</t>
        </is>
      </c>
      <c r="J27" s="1521" t="n"/>
      <c r="K27" s="2010" t="inlineStr">
        <is>
          <t xml:space="preserve">TOTALS</t>
        </is>
      </c>
      <c r="L27" s="1521" t="n"/>
      <c r="M27" s="2010" t="inlineStr">
        <is>
          <t xml:space="preserve">LITRES</t>
        </is>
      </c>
    </row>
    <row r="28" outlineLevel="1" ht="15" customFormat="1" customHeight="1" s="1425">
      <c r="B28" s="2159" t="inlineStr">
        <is>
          <t xml:space="preserve">Box 12x33cl Can</t>
        </is>
      </c>
      <c r="C28" s="2149">
        <f>Filling!C9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 xml:space="preserve">Box 24x33cl Can</t>
        </is>
      </c>
      <c r="C29" s="2149">
        <f>Filling!C8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 xml:space="preserve">Box 12x44cl Can</t>
        </is>
      </c>
      <c r="C30" s="2149">
        <f>Filling!C9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 xml:space="preserve">Box 24x44cl Can</t>
        </is>
      </c>
      <c r="C31" s="2149">
        <f>Filling!C10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 xml:space="preserve">FILLED KEGS &amp; KEYKEGS</t>
        </is>
      </c>
      <c r="C33" s="2147" t="inlineStr">
        <is>
          <t xml:space="preserve">Comments</t>
        </is>
      </c>
      <c r="D33" s="2010" t="inlineStr">
        <is>
          <t xml:space="preserve">Quantity</t>
        </is>
      </c>
      <c r="E33" s="2010" t="inlineStr">
        <is>
          <t xml:space="preserve">Quantity</t>
        </is>
      </c>
      <c r="F33" s="2010" t="inlineStr">
        <is>
          <t xml:space="preserve">Quantity</t>
        </is>
      </c>
      <c r="G33" s="2010" t="inlineStr">
        <is>
          <t xml:space="preserve">Quantity</t>
        </is>
      </c>
      <c r="H33" s="2010" t="inlineStr">
        <is>
          <t xml:space="preserve">Quantity</t>
        </is>
      </c>
      <c r="I33" s="2010" t="inlineStr">
        <is>
          <t xml:space="preserve">Quantity</t>
        </is>
      </c>
      <c r="J33" s="1521" t="n"/>
      <c r="K33" s="2010" t="inlineStr">
        <is>
          <t xml:space="preserve">TOTALS</t>
        </is>
      </c>
      <c r="L33" s="1521" t="n"/>
      <c r="M33" s="2010" t="inlineStr">
        <is>
          <t xml:space="preserve">LITRES</t>
        </is>
      </c>
    </row>
    <row r="34" outlineLevel="1" ht="15" customFormat="1" customHeight="1" s="1425">
      <c r="B34" s="2013" t="inlineStr">
        <is>
          <t xml:space="preserve">20L KU 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 xml:space="preserve">30L Jopen Keg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K35*30</f>
        <v/>
      </c>
    </row>
    <row r="36" outlineLevel="1" ht="15" customFormat="1" customHeight="1" s="1425">
      <c r="B36" s="2013" t="inlineStr">
        <is>
          <t xml:space="preserve">50L Jopen Keg</t>
        </is>
      </c>
      <c r="C36" s="2149" t="n"/>
      <c r="D36" s="2160" t="n"/>
      <c r="E36" s="2160" t="n"/>
      <c r="F36" s="2160" t="n"/>
      <c r="G36" s="2160" t="n"/>
      <c r="H36" s="2160" t="n"/>
      <c r="I36" s="2161" t="n"/>
      <c r="J36" s="1521" t="n"/>
      <c r="K36" s="2152">
        <f>SUM(D36:I36)</f>
        <v/>
      </c>
      <c r="L36" s="2112" t="n"/>
      <c r="M36" s="2154">
        <f>K36*50</f>
        <v/>
      </c>
    </row>
    <row r="37" ht="15" customFormat="1" customHeight="1" s="1425">
      <c r="B37" s="2162" t="n"/>
      <c r="C37" s="1521" t="n"/>
      <c r="D37" s="2163" t="n"/>
      <c r="E37" s="2163" t="n"/>
      <c r="F37" s="2163" t="n"/>
      <c r="G37" s="2163" t="n"/>
      <c r="H37" s="2163" t="n"/>
      <c r="I37" s="2164" t="n"/>
      <c r="J37" s="1521" t="n"/>
      <c r="K37" s="2152" t="n"/>
      <c r="L37" s="2112" t="n"/>
      <c r="M37" s="2154" t="n"/>
    </row>
    <row r="38" outlineLevel="1" ht="15" customFormat="1" customHeight="1" s="1425">
      <c r="B38" s="2013" t="inlineStr">
        <is>
          <t xml:space="preserve">20L Gebr. Door Vrouwen Keg</t>
        </is>
      </c>
      <c r="C38" s="1521" t="n"/>
      <c r="D38" s="2165" t="n"/>
      <c r="E38" s="2165" t="n"/>
      <c r="F38" s="2165" t="n"/>
      <c r="G38" s="2165" t="n"/>
      <c r="H38" s="2165" t="n"/>
      <c r="I38" s="2166" t="n"/>
      <c r="J38" s="1521" t="n"/>
      <c r="K38" s="2152">
        <f>SUM(D38:I38)</f>
        <v/>
      </c>
      <c r="L38" s="2112" t="n"/>
      <c r="M38" s="2154">
        <f>K38*20</f>
        <v/>
      </c>
    </row>
    <row r="39" outlineLevel="1" ht="15" customFormat="1" customHeight="1" s="1425">
      <c r="B39" s="2013" t="inlineStr">
        <is>
          <t xml:space="preserve">20L Other Keg</t>
        </is>
      </c>
      <c r="C39" s="1521" t="n"/>
      <c r="D39" s="2151" t="n"/>
      <c r="E39" s="2151" t="n"/>
      <c r="F39" s="2151" t="n"/>
      <c r="G39" s="2151" t="n"/>
      <c r="H39" s="2151" t="n"/>
      <c r="I39" s="2150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KeyKeg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ht="15" customFormat="1" customHeight="1" s="1425">
      <c r="B41" s="2013" t="inlineStr">
        <is>
          <t>30L KeyKeg</t>
        </is>
      </c>
      <c r="C41" s="1521" t="n"/>
      <c r="D41" s="2160" t="n"/>
      <c r="E41" s="2160" t="n"/>
      <c r="F41" s="2160" t="n"/>
      <c r="G41" s="2160" t="n"/>
      <c r="H41" s="2160" t="n"/>
      <c r="I41" s="2161" t="n"/>
      <c r="J41" s="1521" t="n"/>
      <c r="K41" s="2152">
        <f>SUM(D41:I41)</f>
        <v/>
      </c>
      <c r="L41" s="2112" t="n"/>
      <c r="M41" s="2154">
        <f>K41*30</f>
        <v/>
      </c>
    </row>
    <row r="42" ht="15" customFormat="1" customHeight="1" s="1425">
      <c r="B42" s="2168" t="n"/>
      <c r="C42" s="1512" t="n"/>
      <c r="D42" s="2169" t="n"/>
      <c r="E42" s="2169" t="n"/>
      <c r="F42" s="2169" t="n"/>
      <c r="G42" s="2169" t="n"/>
      <c r="H42" s="2169" t="n"/>
      <c r="I42" s="2169" t="n"/>
      <c r="J42" s="2170" t="n"/>
      <c r="K42" s="2171" t="n"/>
      <c r="L42" s="1521" t="n"/>
      <c r="M42" s="1521" t="n"/>
    </row>
    <row r="43" outlineLevel="1" ht="55.5" customFormat="1" customHeight="1" s="1425">
      <c r="B43" s="2172" t="inlineStr">
        <is>
          <t xml:space="preserve">USED FOR BLENDING / BARREL AGING</t>
        </is>
      </c>
      <c r="C43" s="2147" t="inlineStr">
        <is>
          <t xml:space="preserve">Comments</t>
        </is>
      </c>
      <c r="D43" s="2010" t="inlineStr">
        <is>
          <t xml:space="preserve">Litres</t>
        </is>
      </c>
      <c r="E43" s="2010" t="inlineStr">
        <is>
          <t xml:space="preserve">Litres</t>
        </is>
      </c>
      <c r="F43" s="2010" t="inlineStr">
        <is>
          <t xml:space="preserve">Litres</t>
        </is>
      </c>
      <c r="G43" s="2010" t="inlineStr">
        <is>
          <t xml:space="preserve">Litres</t>
        </is>
      </c>
      <c r="H43" s="2010" t="inlineStr">
        <is>
          <t xml:space="preserve">Litres</t>
        </is>
      </c>
      <c r="I43" s="2010" t="inlineStr">
        <is>
          <t xml:space="preserve">Litres</t>
        </is>
      </c>
      <c r="J43" s="1521" t="n"/>
      <c r="K43" s="2010" t="inlineStr">
        <is>
          <t xml:space="preserve">TOTAL Litres</t>
        </is>
      </c>
      <c r="L43" s="1114" t="n"/>
      <c r="M43" s="1115" t="n"/>
    </row>
    <row r="44" outlineLevel="1" ht="15" customFormat="1" customHeight="1" s="1425">
      <c r="B44" s="2013" t="inlineStr">
        <is>
          <t xml:space="preserve">FOR BATCH …</t>
        </is>
      </c>
      <c r="C44" s="2150" t="n"/>
      <c r="D44" s="2150" t="n"/>
      <c r="E44" s="2150" t="n"/>
      <c r="F44" s="2150" t="n"/>
      <c r="G44" s="2150" t="n"/>
      <c r="H44" s="2150" t="n"/>
      <c r="I44" s="2150" t="n"/>
      <c r="J44" s="1521" t="n"/>
      <c r="K44" s="2152">
        <f>SUM(D44:I44)</f>
        <v/>
      </c>
      <c r="L44" s="2112" t="n"/>
      <c r="M44" s="2154">
        <f>K44</f>
        <v/>
      </c>
    </row>
    <row r="45" outlineLevel="1" ht="15" customFormat="1" customHeight="1" s="1425">
      <c r="B45" s="2013" t="inlineStr">
        <is>
          <t xml:space="preserve">FOR BARREL AGING BATCH …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n"/>
      <c r="C46" s="2160" t="n"/>
      <c r="D46" s="2160" t="n"/>
      <c r="E46" s="2161" t="n"/>
      <c r="F46" s="2161" t="n"/>
      <c r="G46" s="2161" t="n"/>
      <c r="H46" s="2161" t="n"/>
      <c r="I46" s="2161" t="n"/>
      <c r="J46" s="1521" t="n"/>
      <c r="K46" s="2152">
        <f>SUM(D46:I46)</f>
        <v/>
      </c>
      <c r="L46" s="2112" t="n"/>
      <c r="M46" s="2112" t="n"/>
    </row>
    <row r="47" ht="15" customHeight="1" s="1339"/>
    <row r="48" ht="23.25" customFormat="1" customHeight="1" s="1425">
      <c r="B48" s="2173" t="inlineStr">
        <is>
          <t xml:space="preserve">CONSUMPTION:</t>
        </is>
      </c>
      <c r="C48" s="1114" t="n"/>
      <c r="D48" s="1114" t="n"/>
      <c r="E48" s="1114" t="n"/>
      <c r="F48" s="1114" t="n"/>
      <c r="G48" s="1114" t="n"/>
      <c r="H48" s="1114" t="n"/>
      <c r="I48" s="1115" t="n"/>
      <c r="J48" s="1521" t="n"/>
      <c r="K48" s="2145" t="inlineStr">
        <is>
          <t xml:space="preserve">BOOK OUT (-)</t>
        </is>
      </c>
      <c r="L48" s="1114" t="n"/>
      <c r="M48" s="1115" t="n"/>
      <c r="N48" s="1521" t="n"/>
      <c r="O48" s="1521" t="n"/>
      <c r="P48" s="1521" t="n"/>
      <c r="Q48" s="1521" t="n"/>
    </row>
    <row r="49" ht="15" customFormat="1" customHeight="1" s="1425">
      <c r="B49" s="2174" t="inlineStr">
        <is>
          <t xml:space="preserve">CONSUMPTION BOTTLE</t>
        </is>
      </c>
      <c r="C49" s="2147" t="inlineStr">
        <is>
          <t xml:space="preserve">Comments</t>
        </is>
      </c>
      <c r="D49" s="1137" t="inlineStr">
        <is>
          <t xml:space="preserve">Quantity</t>
        </is>
      </c>
      <c r="E49" s="1137" t="inlineStr">
        <is>
          <t xml:space="preserve">Quantity</t>
        </is>
      </c>
      <c r="F49" s="1137" t="inlineStr">
        <is>
          <t xml:space="preserve">Quantity</t>
        </is>
      </c>
      <c r="G49" s="1137" t="inlineStr">
        <is>
          <t xml:space="preserve">Quantity</t>
        </is>
      </c>
      <c r="H49" s="1137" t="inlineStr">
        <is>
          <t xml:space="preserve">Quantity</t>
        </is>
      </c>
      <c r="I49" s="1137" t="inlineStr">
        <is>
          <t xml:space="preserve">Quantity</t>
        </is>
      </c>
      <c r="J49" s="1521" t="n"/>
      <c r="K49" s="2175" t="inlineStr">
        <is>
          <t xml:space="preserve">TOTALS</t>
        </is>
      </c>
      <c r="L49" s="2036" t="n"/>
      <c r="M49" s="2148" t="inlineStr">
        <is>
          <t xml:space="preserve">LOSS</t>
        </is>
      </c>
      <c r="N49" s="1521" t="n"/>
      <c r="O49" s="1521" t="n"/>
      <c r="P49" s="1521" t="n"/>
      <c r="Q49" s="1521" t="n"/>
    </row>
    <row r="50" outlineLevel="1" ht="15" customFormat="1" customHeight="1" s="1425">
      <c r="B50" s="2016" t="inlineStr">
        <is>
          <t xml:space="preserve">Bottle 33cl</t>
        </is>
      </c>
      <c r="C50" s="2176" t="n"/>
      <c r="D50" s="2165" t="n"/>
      <c r="E50" s="2166" t="n"/>
      <c r="F50" s="2166" t="n"/>
      <c r="G50" s="2166" t="n"/>
      <c r="H50" s="2166" t="n"/>
      <c r="I50" s="2166" t="n"/>
      <c r="J50" s="1521" t="n"/>
      <c r="K50" s="2152">
        <f>SUM(D50:I50)</f>
        <v/>
      </c>
      <c r="L50" s="2112" t="n"/>
      <c r="M50" s="2177">
        <f>K50-SUM(K17:K18)*24-SUM(K20:K21)*12</f>
        <v/>
      </c>
      <c r="N50" s="1521" t="n"/>
      <c r="O50" s="1521" t="n"/>
      <c r="P50" s="1521" t="n"/>
      <c r="Q50" s="1521" t="n"/>
    </row>
    <row r="51" ht="15" customFormat="1" customHeight="1" s="1425">
      <c r="B51" s="2178" t="n"/>
      <c r="C51" s="2163" t="n"/>
      <c r="D51" s="2163" t="n"/>
      <c r="E51" s="2163" t="n"/>
      <c r="F51" s="2163" t="n"/>
      <c r="G51" s="2163" t="n"/>
      <c r="H51" s="2163" t="n"/>
      <c r="I51" s="2163" t="n"/>
      <c r="J51" s="1521" t="n"/>
      <c r="K51" s="2152" t="n"/>
      <c r="L51" s="2112" t="n"/>
      <c r="M51" s="2177" t="n"/>
      <c r="N51" s="1521" t="n"/>
      <c r="O51" s="1521" t="n"/>
      <c r="P51" s="1521" t="n"/>
      <c r="Q51" s="1521" t="n"/>
    </row>
    <row r="52" outlineLevel="1" ht="15" customFormat="1" customHeight="1" s="1425">
      <c r="B52" s="2016" t="inlineStr">
        <is>
          <t xml:space="preserve">Label 33cl - Main</t>
        </is>
      </c>
      <c r="C52" s="2179" t="n"/>
      <c r="D52" s="2165" t="n"/>
      <c r="E52" s="2166" t="n"/>
      <c r="F52" s="2166" t="n"/>
      <c r="G52" s="2166" t="n"/>
      <c r="H52" s="2166" t="n"/>
      <c r="I52" s="2166" t="n"/>
      <c r="J52" s="1521" t="n"/>
      <c r="K52" s="2152">
        <f>SUM(D52:I52)</f>
        <v/>
      </c>
      <c r="L52" s="2112" t="n"/>
      <c r="M52" s="2177">
        <f>K52-$K$17*24-$K$20*12</f>
        <v/>
      </c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 xml:space="preserve">Label 33cl - Neck</t>
        </is>
      </c>
      <c r="C53" s="2161" t="n"/>
      <c r="D53" s="2160" t="n"/>
      <c r="E53" s="2161" t="n"/>
      <c r="F53" s="2161" t="n"/>
      <c r="G53" s="2161" t="n"/>
      <c r="H53" s="2161" t="n"/>
      <c r="I53" s="2161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ht="15" customFormat="1" customHeight="1" s="1425">
      <c r="B54" s="1099" t="n"/>
      <c r="C54" s="2170" t="n"/>
      <c r="D54" s="1521" t="n"/>
      <c r="E54" s="1521" t="n"/>
      <c r="F54" s="1521" t="n"/>
      <c r="G54" s="1521" t="n"/>
      <c r="H54" s="1521" t="n"/>
      <c r="I54" s="1521" t="n"/>
      <c r="J54" s="1521" t="n"/>
      <c r="K54" s="2152" t="n"/>
      <c r="L54" s="2112" t="n"/>
      <c r="M54" s="2177" t="n"/>
      <c r="N54" s="1521" t="n"/>
      <c r="O54" s="1521" t="n"/>
      <c r="P54" s="1521" t="n"/>
      <c r="Q54" s="1521" t="n"/>
    </row>
    <row r="55" outlineLevel="1" ht="15" customFormat="1" customHeight="1" s="1425">
      <c r="B55" s="2016" t="inlineStr">
        <is>
          <t xml:space="preserve">Outer Box 24x33cl - Printed</t>
        </is>
      </c>
      <c r="C55" s="2179" t="n"/>
      <c r="D55" s="2165" t="n"/>
      <c r="E55" s="2166" t="n"/>
      <c r="F55" s="2166" t="n"/>
      <c r="G55" s="2166" t="n"/>
      <c r="H55" s="2166" t="n"/>
      <c r="I55" s="2166" t="n"/>
      <c r="J55" s="1521" t="n"/>
      <c r="K55" s="2152">
        <f>SUM(D55:I55)</f>
        <v/>
      </c>
      <c r="L55" s="2112" t="n"/>
      <c r="M55" s="2152">
        <f>K55-K17</f>
        <v/>
      </c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 xml:space="preserve">Outer Box 24x33cl - Blank</t>
        </is>
      </c>
      <c r="C56" s="2180" t="n"/>
      <c r="D56" s="2160" t="n"/>
      <c r="E56" s="2161" t="n"/>
      <c r="F56" s="2161" t="n"/>
      <c r="G56" s="2161" t="n"/>
      <c r="H56" s="2161" t="n"/>
      <c r="I56" s="2161" t="n"/>
      <c r="J56" s="1521" t="n"/>
      <c r="K56" s="2152">
        <f>SUM(D56:I56)</f>
        <v/>
      </c>
      <c r="L56" s="2112" t="n"/>
      <c r="M56" s="2152">
        <f>K56-K18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1099" t="n"/>
      <c r="C57" s="1521" t="n"/>
      <c r="D57" s="1521" t="n"/>
      <c r="E57" s="1521" t="n"/>
      <c r="F57" s="1521" t="n"/>
      <c r="G57" s="1521" t="n"/>
      <c r="H57" s="1521" t="n"/>
      <c r="I57" s="1521" t="n"/>
      <c r="J57" s="1521" t="n"/>
      <c r="K57" s="2152" t="n"/>
      <c r="L57" s="2112" t="n"/>
      <c r="M57" s="2177" t="n"/>
      <c r="N57" s="1521" t="n"/>
      <c r="O57" s="1521" t="n"/>
      <c r="P57" s="1521" t="n"/>
      <c r="Q57" s="1521" t="n"/>
    </row>
    <row r="58" outlineLevel="1" ht="15" customFormat="1" customHeight="1" s="1425">
      <c r="B58" s="2016" t="inlineStr">
        <is>
          <t xml:space="preserve">Outer Box 12x33cl - Printed</t>
        </is>
      </c>
      <c r="C58" s="2179" t="n"/>
      <c r="D58" s="2165" t="n"/>
      <c r="E58" s="2166" t="n"/>
      <c r="F58" s="2166" t="n"/>
      <c r="G58" s="2166" t="n"/>
      <c r="H58" s="2166" t="n"/>
      <c r="I58" s="2166" t="n"/>
      <c r="J58" s="1521" t="n"/>
      <c r="K58" s="2152">
        <f>SUM(D58:I58)</f>
        <v/>
      </c>
      <c r="L58" s="2112" t="n"/>
      <c r="M58" s="2152">
        <f>K58-K20</f>
        <v/>
      </c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 xml:space="preserve">Outer Box 12x33cl - Blank</t>
        </is>
      </c>
      <c r="C59" s="2180" t="n"/>
      <c r="D59" s="2160" t="n"/>
      <c r="E59" s="2161" t="n"/>
      <c r="F59" s="2161" t="n"/>
      <c r="G59" s="2161" t="n"/>
      <c r="H59" s="2161" t="n"/>
      <c r="I59" s="2161" t="n"/>
      <c r="J59" s="1521" t="n"/>
      <c r="K59" s="2152">
        <f>SUM(D59:I59)</f>
        <v/>
      </c>
      <c r="L59" s="2112" t="n"/>
      <c r="M59" s="2152">
        <f>K59-K21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1099" t="n"/>
      <c r="C60" s="2170" t="n"/>
      <c r="D60" s="1521" t="n"/>
      <c r="E60" s="1521" t="n"/>
      <c r="F60" s="1521" t="n"/>
      <c r="G60" s="1521" t="n"/>
      <c r="H60" s="1521" t="n"/>
      <c r="I60" s="1521" t="n"/>
      <c r="J60" s="1521" t="n"/>
      <c r="K60" s="2152" t="n"/>
      <c r="L60" s="2112" t="n"/>
      <c r="M60" s="2177" t="n"/>
      <c r="N60" s="1521" t="n"/>
      <c r="O60" s="1521" t="n"/>
      <c r="P60" s="1521" t="n"/>
      <c r="Q60" s="1521" t="n"/>
    </row>
    <row r="61" outlineLevel="1" ht="15" customFormat="1" customHeight="1" s="1425">
      <c r="B61" s="2016" t="inlineStr">
        <is>
          <t xml:space="preserve">Crown Cap:</t>
        </is>
      </c>
      <c r="C61" s="2181" t="n"/>
      <c r="D61" s="2137" t="n"/>
      <c r="E61" s="2138" t="n"/>
      <c r="F61" s="2138" t="n"/>
      <c r="G61" s="2138" t="n"/>
      <c r="H61" s="2138" t="n"/>
      <c r="I61" s="2138" t="n"/>
      <c r="J61" s="1521" t="n"/>
      <c r="K61" s="2152">
        <f>SUM(D61:I61)</f>
        <v/>
      </c>
      <c r="L61" s="2112" t="n"/>
      <c r="M61" s="2152">
        <f>C61-SUM(K17:K18)*24-SUM(K20:K21)*12</f>
        <v/>
      </c>
      <c r="N61" s="1521" t="n"/>
      <c r="O61" s="1521" t="inlineStr">
        <is>
          <t xml:space="preserve">Box of</t>
        </is>
      </c>
      <c r="P61" s="1521" t="n"/>
      <c r="Q61" s="2137" t="n">
        <v>10000</v>
      </c>
      <c r="R61" s="2125">
        <f>K61/Q61</f>
        <v/>
      </c>
    </row>
    <row r="62" ht="15" customFormat="1" customHeight="1" s="1425">
      <c r="B62" s="1099" t="n"/>
      <c r="C62" s="1521" t="n"/>
      <c r="D62" s="1521" t="n"/>
      <c r="E62" s="1521" t="n"/>
      <c r="F62" s="1521" t="n"/>
      <c r="G62" s="1521" t="n"/>
      <c r="H62" s="1521" t="n"/>
      <c r="I62" s="1521" t="n"/>
      <c r="J62" s="1521" t="n"/>
      <c r="K62" s="2152" t="n"/>
      <c r="L62" s="2112" t="n"/>
      <c r="M62" s="2177" t="n"/>
      <c r="N62" s="1521" t="n"/>
      <c r="O62" s="2182" t="inlineStr">
        <is>
          <t xml:space="preserve">Box contents may vary!</t>
        </is>
      </c>
    </row>
    <row r="63" outlineLevel="1" ht="15" customFormat="1" customHeight="1" s="1425">
      <c r="B63" s="2016" t="inlineStr">
        <is>
          <t xml:space="preserve">Bottle 75cl</t>
        </is>
      </c>
      <c r="C63" s="2179" t="n"/>
      <c r="D63" s="2165" t="n"/>
      <c r="E63" s="2166" t="n"/>
      <c r="F63" s="2166" t="n"/>
      <c r="G63" s="2166" t="n"/>
      <c r="H63" s="2166" t="n"/>
      <c r="I63" s="2166" t="n"/>
      <c r="J63" s="1521" t="n"/>
      <c r="K63" s="2152">
        <f>SUM(D63:I63)</f>
        <v/>
      </c>
      <c r="L63" s="2112" t="n"/>
      <c r="M63" s="2177">
        <f>K63-SUM(K23:K24)*6-K25*12</f>
        <v/>
      </c>
      <c r="N63" s="1521" t="n"/>
      <c r="O63" s="1521" t="n"/>
      <c r="P63" s="1521" t="n"/>
      <c r="Q63" s="1521" t="n"/>
    </row>
    <row r="64" outlineLevel="1" ht="15" customFormat="1" customHeight="1" s="1425">
      <c r="B64" s="2016" t="inlineStr">
        <is>
          <t xml:space="preserve">Label 75cl - Main</t>
        </is>
      </c>
      <c r="C64" s="2183" t="n"/>
      <c r="D64" s="2151" t="n"/>
      <c r="E64" s="2150" t="n"/>
      <c r="F64" s="2150" t="n"/>
      <c r="G64" s="2150" t="n"/>
      <c r="H64" s="2150" t="n"/>
      <c r="I64" s="2150" t="n"/>
      <c r="J64" s="1521" t="n"/>
      <c r="K64" s="2152">
        <f>SUM(D64:I64)</f>
        <v/>
      </c>
      <c r="L64" s="2112" t="n"/>
      <c r="M64" s="2177">
        <f>K64-K23*6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 xml:space="preserve">Label 75cl - Neck</t>
        </is>
      </c>
      <c r="C65" s="2183" t="n"/>
      <c r="D65" s="2167" t="n"/>
      <c r="E65" s="2184" t="n"/>
      <c r="F65" s="2184" t="n"/>
      <c r="G65" s="2184" t="n"/>
      <c r="H65" s="2184" t="n"/>
      <c r="I65" s="2184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185" t="n"/>
      <c r="C66" s="2186" t="n"/>
      <c r="D66" s="2187" t="n"/>
      <c r="E66" s="2187" t="n"/>
      <c r="F66" s="2187" t="n"/>
      <c r="G66" s="2187" t="n"/>
      <c r="H66" s="2187" t="n"/>
      <c r="I66" s="2187" t="n"/>
      <c r="J66" s="1521" t="n"/>
      <c r="K66" s="2152" t="n"/>
      <c r="L66" s="2112" t="n"/>
      <c r="M66" s="2177" t="n"/>
      <c r="N66" s="1521" t="n"/>
      <c r="O66" s="1521" t="n"/>
      <c r="P66" s="1521" t="n"/>
      <c r="Q66" s="1521" t="n"/>
    </row>
    <row r="67" outlineLevel="1" ht="15" customFormat="1" customHeight="1" s="1425">
      <c r="B67" s="2016" t="inlineStr">
        <is>
          <t xml:space="preserve">Outer Box 6x75cl - Printed</t>
        </is>
      </c>
      <c r="C67" s="2179" t="n"/>
      <c r="D67" s="2165" t="n"/>
      <c r="E67" s="2166" t="n"/>
      <c r="F67" s="2166" t="n"/>
      <c r="G67" s="2166" t="n"/>
      <c r="H67" s="2166" t="n"/>
      <c r="I67" s="2166" t="n"/>
      <c r="J67" s="1521" t="n"/>
      <c r="K67" s="2152">
        <f>SUM(D67:I67)</f>
        <v/>
      </c>
      <c r="L67" s="2112" t="n"/>
      <c r="M67" s="2152">
        <f>K67-K23</f>
        <v/>
      </c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 xml:space="preserve">Outer Box 6x75cl - Blank</t>
        </is>
      </c>
      <c r="C68" s="2188" t="n"/>
      <c r="D68" s="2160" t="n"/>
      <c r="E68" s="2161" t="n"/>
      <c r="F68" s="2161" t="n"/>
      <c r="G68" s="2161" t="n"/>
      <c r="H68" s="2161" t="n"/>
      <c r="I68" s="2161" t="n"/>
      <c r="J68" s="1521" t="n"/>
      <c r="K68" s="2152">
        <f>SUM(D68:I68)</f>
        <v/>
      </c>
      <c r="L68" s="2112" t="n"/>
      <c r="M68" s="2152">
        <f>K68-K24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1099" t="n"/>
      <c r="C69" s="2170" t="n"/>
      <c r="D69" s="1521" t="n"/>
      <c r="E69" s="1521" t="n"/>
      <c r="F69" s="1521" t="n"/>
      <c r="G69" s="1521" t="n"/>
      <c r="H69" s="1521" t="n"/>
      <c r="I69" s="1521" t="n"/>
      <c r="J69" s="1521" t="n"/>
      <c r="K69" s="2152" t="n"/>
      <c r="L69" s="2112" t="n"/>
      <c r="M69" s="2152" t="n"/>
      <c r="N69" s="1521" t="n"/>
      <c r="O69" s="1521" t="n"/>
      <c r="P69" s="1521" t="n"/>
      <c r="Q69" s="1521" t="n"/>
    </row>
    <row r="70" outlineLevel="1" ht="15" customFormat="1" customHeight="1" s="1425">
      <c r="B70" s="2016" t="inlineStr">
        <is>
          <t xml:space="preserve">Cork:</t>
        </is>
      </c>
      <c r="C70" s="2179" t="n"/>
      <c r="D70" s="2165" t="n"/>
      <c r="E70" s="2166" t="n"/>
      <c r="F70" s="2166" t="n"/>
      <c r="G70" s="2166" t="n"/>
      <c r="H70" s="2166" t="n"/>
      <c r="I70" s="2166" t="n"/>
      <c r="J70" s="1521" t="n"/>
      <c r="K70" s="2152">
        <f>SUM(D70:I70)</f>
        <v/>
      </c>
      <c r="L70" s="2112" t="n"/>
      <c r="M70" s="2152">
        <f>K70-SUM(K23:K24)*6-K25*12</f>
        <v/>
      </c>
      <c r="N70" s="1521" t="n"/>
      <c r="O70" s="1521" t="inlineStr">
        <is>
          <t xml:space="preserve">Box of</t>
        </is>
      </c>
      <c r="P70" s="1521" t="n"/>
      <c r="Q70" s="2189" t="n">
        <v>2500</v>
      </c>
      <c r="R70" s="2125">
        <f>K70/Q70</f>
        <v/>
      </c>
    </row>
    <row r="71" outlineLevel="1" ht="15" customFormat="1" customHeight="1" s="1425">
      <c r="B71" s="2016" t="inlineStr">
        <is>
          <t xml:space="preserve">Muselets:</t>
        </is>
      </c>
      <c r="C71" s="2188" t="n"/>
      <c r="D71" s="2160" t="n"/>
      <c r="E71" s="2161" t="n"/>
      <c r="F71" s="2161" t="n"/>
      <c r="G71" s="2161" t="n"/>
      <c r="H71" s="2161" t="n"/>
      <c r="I71" s="2161" t="n"/>
      <c r="J71" s="2170" t="n"/>
      <c r="K71" s="2152">
        <f>SUM(D71:I71)</f>
        <v/>
      </c>
      <c r="L71" s="2112" t="n"/>
      <c r="M71" s="2152">
        <f>K71-SUM(K23:K24)*6--K25*12</f>
        <v/>
      </c>
      <c r="N71" s="1521" t="n"/>
      <c r="O71" s="1521" t="inlineStr">
        <is>
          <t xml:space="preserve">Box of</t>
        </is>
      </c>
      <c r="P71" s="1521" t="n"/>
      <c r="Q71" s="2189" t="n">
        <v>2700</v>
      </c>
      <c r="R71" s="2125">
        <f>K71/Q71</f>
        <v/>
      </c>
    </row>
    <row r="72" ht="15" customFormat="1" customHeight="1" s="1425">
      <c r="B72" s="1099" t="n"/>
      <c r="C72" s="2170" t="n"/>
      <c r="D72" s="1521" t="n"/>
      <c r="E72" s="1521" t="n"/>
      <c r="F72" s="1521" t="n"/>
      <c r="G72" s="1521" t="n"/>
      <c r="H72" s="1521" t="n"/>
      <c r="I72" s="1521" t="n"/>
      <c r="J72" s="1521" t="n"/>
      <c r="K72" s="2190" t="n"/>
      <c r="L72" s="2112" t="n"/>
      <c r="M72" s="2177" t="n"/>
      <c r="N72" s="1521" t="n"/>
      <c r="O72" s="2182">
        <f>O62</f>
        <v/>
      </c>
    </row>
    <row r="73" outlineLevel="1" ht="15" customFormat="1" customHeight="1" s="1425">
      <c r="B73" s="2172" t="inlineStr">
        <is>
          <t xml:space="preserve">CONSUMPTION CAN ITEMS</t>
        </is>
      </c>
      <c r="C73" s="2147" t="inlineStr">
        <is>
          <t xml:space="preserve">Comments</t>
        </is>
      </c>
      <c r="D73" s="2010" t="inlineStr">
        <is>
          <t xml:space="preserve">Quantity</t>
        </is>
      </c>
      <c r="E73" s="2010" t="inlineStr">
        <is>
          <t xml:space="preserve">Quantity</t>
        </is>
      </c>
      <c r="F73" s="2010" t="inlineStr">
        <is>
          <t xml:space="preserve">Quantity</t>
        </is>
      </c>
      <c r="G73" s="2010" t="inlineStr">
        <is>
          <t xml:space="preserve">Quantity</t>
        </is>
      </c>
      <c r="H73" s="2010" t="inlineStr">
        <is>
          <t xml:space="preserve">Quantity</t>
        </is>
      </c>
      <c r="I73" s="2010" t="inlineStr">
        <is>
          <t xml:space="preserve">Quantity</t>
        </is>
      </c>
      <c r="J73" s="2112" t="n"/>
      <c r="K73" s="2010" t="inlineStr">
        <is>
          <t xml:space="preserve">TOTALS</t>
        </is>
      </c>
      <c r="L73" s="2191" t="n"/>
      <c r="M73" s="2010" t="inlineStr">
        <is>
          <t xml:space="preserve">LOSS</t>
        </is>
      </c>
      <c r="N73" s="1521" t="n"/>
      <c r="O73" s="2182" t="n"/>
      <c r="P73" s="2182" t="n"/>
      <c r="Q73" s="2182" t="n"/>
      <c r="R73" s="2182" t="n"/>
    </row>
    <row r="74" outlineLevel="1" ht="15" customFormat="1" customHeight="1" s="1425">
      <c r="B74" s="2192" t="inlineStr">
        <is>
          <t xml:space="preserve">Can 33cl</t>
        </is>
      </c>
      <c r="C74" s="2176" t="n"/>
      <c r="D74" s="2193" t="n"/>
      <c r="E74" s="2194" t="n"/>
      <c r="F74" s="2194" t="n"/>
      <c r="G74" s="2194" t="n"/>
      <c r="H74" s="2194" t="n"/>
      <c r="I74" s="2194" t="n"/>
      <c r="J74" s="1521" t="n"/>
      <c r="K74" s="2152">
        <f>SUM(D74:I74)</f>
        <v/>
      </c>
      <c r="L74" s="2112" t="n"/>
      <c r="M74" s="2177">
        <f>K74-(K28*12)</f>
        <v/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 xml:space="preserve">Can 44cl</t>
        </is>
      </c>
      <c r="C75" s="2195" t="n"/>
      <c r="D75" s="2196" t="n"/>
      <c r="E75" s="2197" t="n"/>
      <c r="F75" s="2197" t="n"/>
      <c r="G75" s="2197" t="n"/>
      <c r="H75" s="2197" t="n"/>
      <c r="I75" s="2197" t="n"/>
      <c r="J75" s="1521" t="n"/>
      <c r="K75" s="2152" t="n"/>
      <c r="L75" s="2112" t="n"/>
      <c r="M75" s="2177">
        <f>K75-(K29*12)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 xml:space="preserve">Can End</t>
        </is>
      </c>
      <c r="C76" s="1615" t="n"/>
      <c r="D76" s="2167" t="n"/>
      <c r="E76" s="2184" t="n"/>
      <c r="F76" s="2184" t="n"/>
      <c r="G76" s="2184" t="n"/>
      <c r="H76" s="2184" t="n"/>
      <c r="I76" s="2184" t="n"/>
      <c r="J76" s="1521" t="n"/>
      <c r="K76" s="2152">
        <f>SUM(D76:I76)</f>
        <v/>
      </c>
      <c r="L76" s="2112" t="n"/>
      <c r="M76" s="2177">
        <f>K76-(K28*12)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 xml:space="preserve">Label 33cl Can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 xml:space="preserve">Label 44cl Can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 t="n"/>
      <c r="L78" s="2112" t="n"/>
      <c r="M78" s="2177">
        <f>K78-(K29*12)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 xml:space="preserve">Outer Box 12x33cl Can - Blank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>
        <f>SUM(D79:I79)</f>
        <v/>
      </c>
      <c r="L79" s="2112" t="n"/>
      <c r="M79" s="2152">
        <f>K79-K28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 xml:space="preserve">Outer Box 24x33cl Can - Blank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 t="n"/>
      <c r="L80" s="2112" t="n"/>
      <c r="M80" s="2152">
        <f>K80-K29</f>
        <v/>
      </c>
    </row>
    <row r="81" outlineLevel="1" ht="15" customFormat="1" customHeight="1" s="1425">
      <c r="B81" s="2192" t="inlineStr">
        <is>
          <t xml:space="preserve">Outer Box 12x44cl Can - Blank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K81-K30</f>
        <v/>
      </c>
    </row>
    <row r="82" outlineLevel="1" ht="15" customFormat="1" customHeight="1" s="1425">
      <c r="B82" s="2192" t="inlineStr">
        <is>
          <t xml:space="preserve">Outer Box 24x44cl Can - Blank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K82-K31</f>
        <v/>
      </c>
    </row>
    <row r="83" outlineLevel="1" ht="15" customFormat="1" customHeight="1" s="1425">
      <c r="B83" s="1099" t="n"/>
      <c r="C83" s="2170" t="n"/>
      <c r="D83" s="1521" t="n"/>
      <c r="E83" s="1521" t="n"/>
      <c r="F83" s="1521" t="n"/>
      <c r="G83" s="1521" t="n"/>
      <c r="H83" s="1521" t="n"/>
      <c r="I83" s="1521" t="n"/>
      <c r="J83" s="1521" t="n"/>
      <c r="K83" s="2190" t="n"/>
      <c r="L83" s="2112" t="n"/>
      <c r="M83" s="2177" t="n"/>
    </row>
    <row r="84" ht="15" customFormat="1" customHeight="1" s="1425">
      <c r="B84" s="2172" t="inlineStr">
        <is>
          <t xml:space="preserve">CONSUMPTION KEG ITEMS</t>
        </is>
      </c>
      <c r="C84" s="2147" t="inlineStr">
        <is>
          <t xml:space="preserve">Comments</t>
        </is>
      </c>
      <c r="D84" s="2010" t="inlineStr">
        <is>
          <t xml:space="preserve">Quantity</t>
        </is>
      </c>
      <c r="E84" s="2010" t="inlineStr">
        <is>
          <t xml:space="preserve">Quantity</t>
        </is>
      </c>
      <c r="F84" s="2010" t="inlineStr">
        <is>
          <t xml:space="preserve">Quantity</t>
        </is>
      </c>
      <c r="G84" s="2010" t="inlineStr">
        <is>
          <t xml:space="preserve">Quantity</t>
        </is>
      </c>
      <c r="H84" s="2010" t="inlineStr">
        <is>
          <t xml:space="preserve">Quantity</t>
        </is>
      </c>
      <c r="I84" s="2010" t="inlineStr">
        <is>
          <t xml:space="preserve">Quantity</t>
        </is>
      </c>
      <c r="J84" s="2112" t="n"/>
      <c r="K84" s="2010" t="inlineStr">
        <is>
          <t xml:space="preserve">TOTALS</t>
        </is>
      </c>
      <c r="L84" s="2191" t="n"/>
      <c r="M84" s="2010" t="inlineStr">
        <is>
          <t xml:space="preserve">LOSS</t>
        </is>
      </c>
    </row>
    <row r="85" outlineLevel="1" ht="15" customFormat="1" customHeight="1" s="1425">
      <c r="B85" s="2016" t="inlineStr">
        <is>
          <t xml:space="preserve">20L KU Keg</t>
        </is>
      </c>
      <c r="C85" s="1615" t="n"/>
      <c r="D85" s="2167" t="n"/>
      <c r="E85" s="2184" t="n"/>
      <c r="F85" s="2184" t="n"/>
      <c r="G85" s="2184" t="n"/>
      <c r="H85" s="2184" t="n"/>
      <c r="I85" s="2184" t="n"/>
      <c r="J85" s="1521" t="n"/>
      <c r="K85" s="2152">
        <f>SUM(D85:I85)</f>
        <v/>
      </c>
      <c r="L85" s="2112" t="n"/>
      <c r="M85" s="2152">
        <f>K85-K34</f>
        <v/>
      </c>
    </row>
    <row r="86" outlineLevel="1" ht="15" customFormat="1" customHeight="1" s="1425">
      <c r="B86" s="2016" t="inlineStr">
        <is>
          <t xml:space="preserve">30L Jopen Keg</t>
        </is>
      </c>
      <c r="C86" s="1615" t="n"/>
      <c r="D86" s="2167" t="n"/>
      <c r="E86" s="2184" t="n"/>
      <c r="F86" s="2184" t="n"/>
      <c r="G86" s="2184" t="n"/>
      <c r="H86" s="2184" t="n"/>
      <c r="I86" s="2184" t="n"/>
      <c r="J86" s="1521" t="n"/>
      <c r="K86" s="2152">
        <f>SUM(D86:I86)</f>
        <v/>
      </c>
      <c r="L86" s="2112" t="n"/>
      <c r="M86" s="2152">
        <f>K86-K35</f>
        <v/>
      </c>
    </row>
    <row r="87" outlineLevel="1" ht="15" customFormat="1" customHeight="1" s="1425">
      <c r="B87" s="2016" t="inlineStr">
        <is>
          <t xml:space="preserve">50L Jopen Keg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K87-K36</f>
        <v/>
      </c>
    </row>
    <row r="88" ht="15" customFormat="1" customHeight="1" s="1425">
      <c r="B88" s="2185" t="n"/>
      <c r="C88" s="2198" t="n"/>
      <c r="D88" s="2156" t="n"/>
      <c r="E88" s="2156" t="n"/>
      <c r="F88" s="2156" t="n"/>
      <c r="G88" s="2156" t="n"/>
      <c r="H88" s="2156" t="n"/>
      <c r="I88" s="2156" t="n"/>
      <c r="J88" s="1521" t="n"/>
      <c r="K88" s="2152" t="n"/>
      <c r="L88" s="2112" t="n"/>
      <c r="M88" s="2152" t="n"/>
    </row>
    <row r="89" outlineLevel="1" ht="15" customFormat="1" customHeight="1" s="1425">
      <c r="B89" s="2016" t="inlineStr">
        <is>
          <t xml:space="preserve">20L Gebr. Door Vrouwen Keg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K89-K38</f>
        <v/>
      </c>
    </row>
    <row r="90" outlineLevel="1" ht="15" customFormat="1" customHeight="1" s="1425">
      <c r="B90" s="2016" t="inlineStr">
        <is>
          <t xml:space="preserve">20L Other Keg</t>
        </is>
      </c>
      <c r="C90" s="1615" t="n"/>
      <c r="D90" s="2167" t="n"/>
      <c r="E90" s="2184" t="n"/>
      <c r="F90" s="2184" t="n"/>
      <c r="G90" s="2184" t="n"/>
      <c r="H90" s="2184" t="n"/>
      <c r="I90" s="2184" t="n"/>
      <c r="J90" s="1521" t="n"/>
      <c r="K90" s="2152">
        <f>SUM(D90:I90)</f>
        <v/>
      </c>
      <c r="L90" s="2112" t="n"/>
      <c r="M90" s="2152">
        <f>K90-K39</f>
        <v/>
      </c>
    </row>
    <row r="91" outlineLevel="1" ht="15" customFormat="1" customHeight="1" s="1425">
      <c r="B91" s="2016" t="inlineStr">
        <is>
          <t>20L KeyKeg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K91-K40</f>
        <v/>
      </c>
    </row>
    <row r="92" outlineLevel="1" ht="15" customFormat="1" customHeight="1" s="1425">
      <c r="B92" s="2016" t="inlineStr">
        <is>
          <t>30L KeyKeg</t>
        </is>
      </c>
      <c r="C92" s="1615" t="n"/>
      <c r="D92" s="2167" t="n"/>
      <c r="E92" s="2184" t="n"/>
      <c r="F92" s="2184" t="n"/>
      <c r="G92" s="2184" t="n"/>
      <c r="H92" s="2184" t="n"/>
      <c r="I92" s="2184" t="n"/>
      <c r="J92" s="1521" t="n"/>
      <c r="K92" s="2152">
        <f>SUM(D92:I92)</f>
        <v/>
      </c>
      <c r="L92" s="2112" t="n"/>
      <c r="M92" s="2152">
        <f>K92-K41</f>
        <v/>
      </c>
    </row>
    <row r="93" ht="15" customFormat="1" customHeight="1" s="1425">
      <c r="B93" s="2185" t="n"/>
      <c r="C93" s="2198" t="n"/>
      <c r="D93" s="2156" t="n"/>
      <c r="E93" s="2156" t="n"/>
      <c r="F93" s="2156" t="n"/>
      <c r="G93" s="2156" t="n"/>
      <c r="H93" s="2156" t="n"/>
      <c r="I93" s="2156" t="n"/>
      <c r="J93" s="1521" t="n"/>
      <c r="K93" s="2152" t="n"/>
      <c r="L93" s="2112" t="n"/>
      <c r="M93" s="2152" t="n"/>
    </row>
    <row r="94" outlineLevel="1" ht="15" customFormat="1" customHeight="1" s="1425">
      <c r="B94" s="2016" t="inlineStr">
        <is>
          <t xml:space="preserve">Keg Cap:</t>
        </is>
      </c>
      <c r="C94" s="1615" t="n"/>
      <c r="D94" s="2167" t="n"/>
      <c r="E94" s="2184" t="n"/>
      <c r="F94" s="2184" t="n"/>
      <c r="G94" s="2184" t="n"/>
      <c r="H94" s="2184" t="n"/>
      <c r="I94" s="2184" t="n"/>
      <c r="J94" s="1521" t="n"/>
      <c r="K94" s="2152">
        <f>SUM(D94:I94)</f>
        <v/>
      </c>
      <c r="L94" s="2112" t="n"/>
      <c r="M94" s="2152">
        <f>K94-K34-K35-K36-K38-K39</f>
        <v/>
      </c>
    </row>
    <row r="95" outlineLevel="1" ht="15" customFormat="1" customHeight="1" s="1425">
      <c r="B95" s="2016" t="inlineStr">
        <is>
          <t xml:space="preserve">KeyKeg Cap: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K95-K40-K41</f>
        <v/>
      </c>
    </row>
    <row r="96" ht="15" customHeight="1" s="1339"/>
    <row r="97" ht="15" customHeight="1" s="1339"/>
    <row r="98" ht="15" customFormat="1" customHeight="1" s="1425">
      <c r="B98" s="2013" t="inlineStr">
        <is>
          <t xml:space="preserve">Entered In Mdrank</t>
        </is>
      </c>
      <c r="C98" s="2026" t="inlineStr">
        <is>
          <t xml:space="preserve">by:</t>
        </is>
      </c>
      <c r="D98" s="2205" t="n"/>
      <c r="E98" s="1115" t="n"/>
    </row>
    <row r="99" ht="15" customFormat="1" customHeight="1" s="1425">
      <c r="B99" s="2206" t="n"/>
      <c r="C99" s="2026" t="inlineStr">
        <is>
          <t xml:space="preserve">date:</t>
        </is>
      </c>
      <c r="D99" s="2215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3:M43"/>
    <mergeCell ref="B3:B4"/>
    <mergeCell ref="B1:I2"/>
    <mergeCell ref="D99:E99"/>
    <mergeCell ref="M13:O13"/>
    <mergeCell ref="C3:E4"/>
    <mergeCell ref="O72:R72"/>
    <mergeCell ref="M12:O12"/>
    <mergeCell ref="Q8:R8"/>
    <mergeCell ref="H3:I4"/>
    <mergeCell ref="M8:O8"/>
    <mergeCell ref="B6:C11"/>
    <mergeCell ref="Q3:R4"/>
    <mergeCell ref="K48:M48"/>
    <mergeCell ref="Q9:R9"/>
    <mergeCell ref="B48:I48"/>
    <mergeCell ref="K15:M15"/>
    <mergeCell ref="O62:R62"/>
    <mergeCell ref="F3:G4"/>
    <mergeCell ref="D98:E98"/>
    <mergeCell ref="M9:O9"/>
    <mergeCell ref="O3:O4"/>
    <mergeCell ref="M1:R1"/>
  </mergeCells>
  <conditionalFormatting sqref="M44:M45">
    <cfRule type="cellIs" rank="0" priority="2" equalAverage="0" operator="greaterThan" aboveAverage="0" dxfId="29" text="" percent="0" bottom="0">
      <formula>0</formula>
    </cfRule>
  </conditionalFormatting>
  <conditionalFormatting sqref="M61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79:K82">
    <cfRule type="cellIs" rank="0" priority="8" equalAverage="0" operator="greaterThan" aboveAverage="0" dxfId="33" text="" percent="0" bottom="0">
      <formula>0</formula>
    </cfRule>
  </conditionalFormatting>
  <conditionalFormatting sqref="K77:K78">
    <cfRule type="cellIs" rank="0" priority="9" equalAverage="0" operator="greaterThan" aboveAverage="0" dxfId="33" text="" percent="0" bottom="0">
      <formula>0</formula>
    </cfRule>
  </conditionalFormatting>
  <conditionalFormatting sqref="K76">
    <cfRule type="cellIs" rank="0" priority="10" equalAverage="0" operator="greaterThan" aboveAverage="0" dxfId="33" text="" percent="0" bottom="0">
      <formula>0</formula>
    </cfRule>
  </conditionalFormatting>
  <conditionalFormatting sqref="K74:K75">
    <cfRule type="cellIs" rank="0" priority="11" equalAverage="0" operator="greaterThan" aboveAverage="0" dxfId="33" text="" percent="0" bottom="0">
      <formula>0</formula>
    </cfRule>
  </conditionalFormatting>
  <conditionalFormatting sqref="M73">
    <cfRule type="cellIs" rank="0" priority="12" equalAverage="0" operator="lessThan" aboveAverage="0" dxfId="12" text="" percent="0" bottom="0">
      <formula>0</formula>
    </cfRule>
  </conditionalFormatting>
  <conditionalFormatting sqref="K73">
    <cfRule type="cellIs" rank="0" priority="13" equalAverage="0" operator="lessThan" aboveAverage="0" dxfId="12" text="" percent="0" bottom="0">
      <formula>0</formula>
    </cfRule>
  </conditionalFormatting>
  <conditionalFormatting sqref="M74:M82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5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5">
    <cfRule type="cellIs" rank="0" priority="20" equalAverage="0" operator="greaterThan" aboveAverage="0" dxfId="8" text="" percent="0" bottom="0">
      <formula>0</formula>
    </cfRule>
  </conditionalFormatting>
  <conditionalFormatting sqref="M86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6">
    <cfRule type="cellIs" rank="0" priority="24" equalAverage="0" operator="greaterThan" aboveAverage="0" dxfId="8" text="" percent="0" bottom="0">
      <formula>0</formula>
    </cfRule>
  </conditionalFormatting>
  <conditionalFormatting sqref="M87:M88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7:K88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4">
    <cfRule type="cellIs" rank="0" priority="34" equalAverage="0" operator="lessThan" aboveAverage="0" dxfId="12" text="" percent="0" bottom="0">
      <formula>0</formula>
    </cfRule>
  </conditionalFormatting>
  <conditionalFormatting sqref="M34 M36:M41">
    <cfRule type="cellIs" rank="0" priority="35" equalAverage="0" operator="greaterThan" aboveAverage="0" dxfId="29" text="" percent="0" bottom="0">
      <formula>0</formula>
    </cfRule>
  </conditionalFormatting>
  <conditionalFormatting sqref="M50:M60 M62:M72 M83 M89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4">
    <cfRule type="cellIs" rank="0" priority="40" equalAverage="0" operator="lessThan" aboveAverage="0" dxfId="12" text="" percent="0" bottom="0">
      <formula>0</formula>
    </cfRule>
  </conditionalFormatting>
  <conditionalFormatting sqref="K50:K53 K55:K56 K58:K59 K63:K65 K67:K69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1 K44:K46 K89:K96 R61 R70:R71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