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IF(G58="warm",SUMIF(G58:I60,"warm",E58:F60)/($C$9*100),SUMIF(G58:I60,"Cold*",E58:F60)/($C$9*100))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IF(G61="warm",SUMIF(G61:I63,"warm",E61:F63)/($C$9*100),SUMIF(G61:I63,"Cold*",E61:F63)/($C$9*100))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Cold" percent="0" bottom="0">
      <formula>NOT(ISERROR(SEARCH("Cold",G62)))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Cold" percent="0" bottom="0">
      <formula>NOT(ISERROR(SEARCH("Cold",G61)))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Cold" percent="0" bottom="0">
      <formula>NOT(ISERROR(SEARCH("Cold",G59)))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Cold" percent="0" bottom="0">
      <formula>NOT(ISERROR(SEARCH("Cold",G58)))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2210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2213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Afvulverslag!M48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Afvulverslag!M76</f>
        <v/>
      </c>
      <c r="D60" s="2070" t="n"/>
      <c r="E60" s="2077">
        <f>IFERROR(Afvulverslag!M81/Afvulverslag!K81,"")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SUM(Afvulverslag!M85:M87,Afvulverslag!M89:M92)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2" activeCellId="0" sqref="I42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SUM(M34:M41)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SUM(K44:K46)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KU Fust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30L Jopen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K35*30</f>
        <v/>
      </c>
    </row>
    <row r="36" outlineLevel="1" ht="15" customFormat="1" customHeight="1" s="1425">
      <c r="B36" s="2013" t="inlineStr">
        <is>
          <t>50L Jopen Fust</t>
        </is>
      </c>
      <c r="C36" s="2149" t="n"/>
      <c r="D36" s="2160" t="n"/>
      <c r="E36" s="2160" t="n"/>
      <c r="F36" s="2160" t="n"/>
      <c r="G36" s="2160" t="n"/>
      <c r="H36" s="2160" t="n"/>
      <c r="I36" s="2161" t="n"/>
      <c r="J36" s="1521" t="n"/>
      <c r="K36" s="2152">
        <f>SUM(D36:I36)</f>
        <v/>
      </c>
      <c r="L36" s="2112" t="n"/>
      <c r="M36" s="2154">
        <f>K36*50</f>
        <v/>
      </c>
    </row>
    <row r="37" ht="15" customFormat="1" customHeight="1" s="1425">
      <c r="B37" s="2162" t="n"/>
      <c r="C37" s="1521" t="n"/>
      <c r="D37" s="2163" t="n"/>
      <c r="E37" s="2163" t="n"/>
      <c r="F37" s="2163" t="n"/>
      <c r="G37" s="2163" t="n"/>
      <c r="H37" s="2163" t="n"/>
      <c r="I37" s="2164" t="n"/>
      <c r="J37" s="1521" t="n"/>
      <c r="K37" s="2152" t="n"/>
      <c r="L37" s="2112" t="n"/>
      <c r="M37" s="2154" t="n"/>
    </row>
    <row r="38" outlineLevel="1" ht="15" customFormat="1" customHeight="1" s="1425">
      <c r="B38" s="2013" t="inlineStr">
        <is>
          <t>20L Gebr. Door Vrouwen Fust</t>
        </is>
      </c>
      <c r="C38" s="1521" t="n"/>
      <c r="D38" s="2165" t="n"/>
      <c r="E38" s="2165" t="n"/>
      <c r="F38" s="2165" t="n"/>
      <c r="G38" s="2165" t="n"/>
      <c r="H38" s="2165" t="n"/>
      <c r="I38" s="2166" t="n"/>
      <c r="J38" s="1521" t="n"/>
      <c r="K38" s="2152">
        <f>SUM(D38:I38)</f>
        <v/>
      </c>
      <c r="L38" s="2112" t="n"/>
      <c r="M38" s="2154">
        <f>K38*20</f>
        <v/>
      </c>
    </row>
    <row r="39" outlineLevel="1" ht="15" customFormat="1" customHeight="1" s="1425">
      <c r="B39" s="2013" t="inlineStr">
        <is>
          <t>20L Other Fust</t>
        </is>
      </c>
      <c r="C39" s="1521" t="n"/>
      <c r="D39" s="2151" t="n"/>
      <c r="E39" s="2151" t="n"/>
      <c r="F39" s="2151" t="n"/>
      <c r="G39" s="2151" t="n"/>
      <c r="H39" s="2151" t="n"/>
      <c r="I39" s="2150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KeyKeg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ht="15" customFormat="1" customHeight="1" s="1425">
      <c r="B41" s="2013" t="inlineStr">
        <is>
          <t>30L KeyKeg</t>
        </is>
      </c>
      <c r="C41" s="1521" t="n"/>
      <c r="D41" s="2160" t="n"/>
      <c r="E41" s="2160" t="n"/>
      <c r="F41" s="2160" t="n"/>
      <c r="G41" s="2160" t="n"/>
      <c r="H41" s="2160" t="n"/>
      <c r="I41" s="2161" t="n"/>
      <c r="J41" s="1521" t="n"/>
      <c r="K41" s="2152">
        <f>SUM(D41:I41)</f>
        <v/>
      </c>
      <c r="L41" s="2112" t="n"/>
      <c r="M41" s="2154">
        <f>K41*30</f>
        <v/>
      </c>
    </row>
    <row r="42" ht="15" customFormat="1" customHeight="1" s="1425">
      <c r="B42" s="2168" t="n"/>
      <c r="C42" s="1512" t="n"/>
      <c r="D42" s="2169" t="n"/>
      <c r="E42" s="2169" t="n"/>
      <c r="F42" s="2169" t="n"/>
      <c r="G42" s="2169" t="n"/>
      <c r="H42" s="2169" t="n"/>
      <c r="I42" s="2169" t="n"/>
      <c r="J42" s="2170" t="n"/>
      <c r="K42" s="2171" t="n"/>
      <c r="L42" s="1521" t="n"/>
      <c r="M42" s="1521" t="n"/>
    </row>
    <row r="43" outlineLevel="1" ht="55.5" customFormat="1" customHeight="1" s="1425">
      <c r="B43" s="2172" t="inlineStr">
        <is>
          <t>GEBRUIKT TBV SAMENVOEGEN / BARREL AGING</t>
        </is>
      </c>
      <c r="C43" s="2147" t="inlineStr">
        <is>
          <t>Opmerkingen</t>
        </is>
      </c>
      <c r="D43" s="2010" t="inlineStr">
        <is>
          <t>Liters</t>
        </is>
      </c>
      <c r="E43" s="2010" t="inlineStr">
        <is>
          <t>Liters</t>
        </is>
      </c>
      <c r="F43" s="2010" t="inlineStr">
        <is>
          <t>Liters</t>
        </is>
      </c>
      <c r="G43" s="2010" t="inlineStr">
        <is>
          <t>Liters</t>
        </is>
      </c>
      <c r="H43" s="2010" t="inlineStr">
        <is>
          <t>Liters</t>
        </is>
      </c>
      <c r="I43" s="2010" t="inlineStr">
        <is>
          <t>Liters</t>
        </is>
      </c>
      <c r="J43" s="1521" t="n"/>
      <c r="K43" s="2010" t="inlineStr">
        <is>
          <t>TOTALEN Liters</t>
        </is>
      </c>
      <c r="L43" s="1114" t="n"/>
      <c r="M43" s="1115" t="n"/>
    </row>
    <row r="44" outlineLevel="1" ht="15" customFormat="1" customHeight="1" s="1425">
      <c r="B44" s="2013" t="inlineStr">
        <is>
          <t>TBV BATCH …,</t>
        </is>
      </c>
      <c r="C44" s="2150" t="n"/>
      <c r="D44" s="2150" t="n"/>
      <c r="E44" s="2150" t="n"/>
      <c r="F44" s="2150" t="n"/>
      <c r="G44" s="2150" t="n"/>
      <c r="H44" s="2150" t="n"/>
      <c r="I44" s="2150" t="n"/>
      <c r="J44" s="1521" t="n"/>
      <c r="K44" s="2152">
        <f>SUM(D44:I44)</f>
        <v/>
      </c>
      <c r="L44" s="2112" t="n"/>
      <c r="M44" s="2154">
        <f>K44</f>
        <v/>
      </c>
    </row>
    <row r="45" outlineLevel="1" ht="15" customFormat="1" customHeight="1" s="1425">
      <c r="B45" s="2013" t="inlineStr">
        <is>
          <t>TBV BARREL AGING BATCH…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n"/>
      <c r="C46" s="2160" t="n"/>
      <c r="D46" s="2160" t="n"/>
      <c r="E46" s="2161" t="n"/>
      <c r="F46" s="2161" t="n"/>
      <c r="G46" s="2161" t="n"/>
      <c r="H46" s="2161" t="n"/>
      <c r="I46" s="2161" t="n"/>
      <c r="J46" s="1521" t="n"/>
      <c r="K46" s="2152">
        <f>SUM(D46:I46)</f>
        <v/>
      </c>
      <c r="L46" s="2112" t="n"/>
      <c r="M46" s="2112" t="n"/>
    </row>
    <row r="47" ht="15" customHeight="1" s="1339"/>
    <row r="48" ht="23.25" customFormat="1" customHeight="1" s="1425">
      <c r="B48" s="2173" t="inlineStr">
        <is>
          <t>VERBRUIKEN :</t>
        </is>
      </c>
      <c r="C48" s="1114" t="n"/>
      <c r="D48" s="1114" t="n"/>
      <c r="E48" s="1114" t="n"/>
      <c r="F48" s="1114" t="n"/>
      <c r="G48" s="1114" t="n"/>
      <c r="H48" s="1114" t="n"/>
      <c r="I48" s="1115" t="n"/>
      <c r="J48" s="1521" t="n"/>
      <c r="K48" s="2145" t="inlineStr">
        <is>
          <t>UITSCHRIJVEN (-)</t>
        </is>
      </c>
      <c r="L48" s="1114" t="n"/>
      <c r="M48" s="1115" t="n"/>
      <c r="N48" s="1521" t="n"/>
      <c r="O48" s="1521" t="n"/>
      <c r="P48" s="1521" t="n"/>
      <c r="Q48" s="1521" t="n"/>
    </row>
    <row r="49" ht="15" customFormat="1" customHeight="1" s="1425">
      <c r="B49" s="2174" t="inlineStr">
        <is>
          <t>VERBRUIKEN FLES</t>
        </is>
      </c>
      <c r="C49" s="2147" t="inlineStr">
        <is>
          <t>Opmerkingen</t>
        </is>
      </c>
      <c r="D49" s="1137" t="inlineStr">
        <is>
          <t>Aantal</t>
        </is>
      </c>
      <c r="E49" s="1137" t="inlineStr">
        <is>
          <t>Aantal</t>
        </is>
      </c>
      <c r="F49" s="1137" t="inlineStr">
        <is>
          <t>Aantal</t>
        </is>
      </c>
      <c r="G49" s="1137" t="inlineStr">
        <is>
          <t>Aantal</t>
        </is>
      </c>
      <c r="H49" s="1137" t="inlineStr">
        <is>
          <t>Aantal</t>
        </is>
      </c>
      <c r="I49" s="1137" t="inlineStr">
        <is>
          <t>Aantal</t>
        </is>
      </c>
      <c r="J49" s="1521" t="n"/>
      <c r="K49" s="2175" t="inlineStr">
        <is>
          <t>TOTALEN</t>
        </is>
      </c>
      <c r="L49" s="2036" t="n"/>
      <c r="M49" s="2148" t="inlineStr">
        <is>
          <t>VERLIES</t>
        </is>
      </c>
      <c r="N49" s="1521" t="n"/>
      <c r="O49" s="1521" t="n"/>
      <c r="P49" s="1521" t="n"/>
      <c r="Q49" s="1521" t="n"/>
    </row>
    <row r="50" outlineLevel="1" ht="15" customFormat="1" customHeight="1" s="1425">
      <c r="B50" s="2016" t="inlineStr">
        <is>
          <t>Fles 33cl</t>
        </is>
      </c>
      <c r="C50" s="2176" t="n"/>
      <c r="D50" s="2165" t="n"/>
      <c r="E50" s="2166" t="n"/>
      <c r="F50" s="2166" t="n"/>
      <c r="G50" s="2166" t="n"/>
      <c r="H50" s="2166" t="n"/>
      <c r="I50" s="2166" t="n"/>
      <c r="J50" s="1521" t="n"/>
      <c r="K50" s="2152">
        <f>SUM(D50:I50)</f>
        <v/>
      </c>
      <c r="L50" s="2112" t="n"/>
      <c r="M50" s="2177">
        <f>K50-SUM(K17:K18)*24-SUM(K20:K21)*12</f>
        <v/>
      </c>
      <c r="N50" s="1521" t="n"/>
      <c r="O50" s="1521" t="n"/>
      <c r="P50" s="1521" t="n"/>
      <c r="Q50" s="1521" t="n"/>
    </row>
    <row r="51" ht="15" customFormat="1" customHeight="1" s="1425">
      <c r="B51" s="2178" t="n"/>
      <c r="C51" s="2163" t="n"/>
      <c r="D51" s="2163" t="n"/>
      <c r="E51" s="2163" t="n"/>
      <c r="F51" s="2163" t="n"/>
      <c r="G51" s="2163" t="n"/>
      <c r="H51" s="2163" t="n"/>
      <c r="I51" s="2163" t="n"/>
      <c r="J51" s="1521" t="n"/>
      <c r="K51" s="2152" t="n"/>
      <c r="L51" s="2112" t="n"/>
      <c r="M51" s="2177" t="n"/>
      <c r="N51" s="1521" t="n"/>
      <c r="O51" s="1521" t="n"/>
      <c r="P51" s="1521" t="n"/>
      <c r="Q51" s="1521" t="n"/>
    </row>
    <row r="52" outlineLevel="1" ht="15" customFormat="1" customHeight="1" s="1425">
      <c r="B52" s="2016" t="inlineStr">
        <is>
          <t>Stickerlabel 33cl - Main</t>
        </is>
      </c>
      <c r="C52" s="2179" t="n"/>
      <c r="D52" s="2165" t="n"/>
      <c r="E52" s="2166" t="n"/>
      <c r="F52" s="2166" t="n"/>
      <c r="G52" s="2166" t="n"/>
      <c r="H52" s="2166" t="n"/>
      <c r="I52" s="2166" t="n"/>
      <c r="J52" s="1521" t="n"/>
      <c r="K52" s="2152">
        <f>SUM(D52:I52)</f>
        <v/>
      </c>
      <c r="L52" s="2112" t="n"/>
      <c r="M52" s="2177">
        <f>K52-$K$17*24-$K$20*12</f>
        <v/>
      </c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Neck</t>
        </is>
      </c>
      <c r="C53" s="2161" t="n"/>
      <c r="D53" s="2160" t="n"/>
      <c r="E53" s="2161" t="n"/>
      <c r="F53" s="2161" t="n"/>
      <c r="G53" s="2161" t="n"/>
      <c r="H53" s="2161" t="n"/>
      <c r="I53" s="2161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ht="15" customFormat="1" customHeight="1" s="1425">
      <c r="B54" s="1099" t="n"/>
      <c r="C54" s="2170" t="n"/>
      <c r="D54" s="1521" t="n"/>
      <c r="E54" s="1521" t="n"/>
      <c r="F54" s="1521" t="n"/>
      <c r="G54" s="1521" t="n"/>
      <c r="H54" s="1521" t="n"/>
      <c r="I54" s="1521" t="n"/>
      <c r="J54" s="1521" t="n"/>
      <c r="K54" s="2152" t="n"/>
      <c r="L54" s="2112" t="n"/>
      <c r="M54" s="2177" t="n"/>
      <c r="N54" s="1521" t="n"/>
      <c r="O54" s="1521" t="n"/>
      <c r="P54" s="1521" t="n"/>
      <c r="Q54" s="1521" t="n"/>
    </row>
    <row r="55" outlineLevel="1" ht="15" customFormat="1" customHeight="1" s="1425">
      <c r="B55" s="2016" t="inlineStr">
        <is>
          <t>Omdozen 24x33cl - Bedrukt:</t>
        </is>
      </c>
      <c r="C55" s="2179" t="n"/>
      <c r="D55" s="2165" t="n"/>
      <c r="E55" s="2166" t="n"/>
      <c r="F55" s="2166" t="n"/>
      <c r="G55" s="2166" t="n"/>
      <c r="H55" s="2166" t="n"/>
      <c r="I55" s="2166" t="n"/>
      <c r="J55" s="1521" t="n"/>
      <c r="K55" s="2152">
        <f>SUM(D55:I55)</f>
        <v/>
      </c>
      <c r="L55" s="2112" t="n"/>
      <c r="M55" s="2152">
        <f>K55-K17</f>
        <v/>
      </c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Blanco</t>
        </is>
      </c>
      <c r="C56" s="2180" t="n"/>
      <c r="D56" s="2160" t="n"/>
      <c r="E56" s="2161" t="n"/>
      <c r="F56" s="2161" t="n"/>
      <c r="G56" s="2161" t="n"/>
      <c r="H56" s="2161" t="n"/>
      <c r="I56" s="2161" t="n"/>
      <c r="J56" s="1521" t="n"/>
      <c r="K56" s="2152">
        <f>SUM(D56:I56)</f>
        <v/>
      </c>
      <c r="L56" s="2112" t="n"/>
      <c r="M56" s="2152">
        <f>K56-K18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1099" t="n"/>
      <c r="C57" s="1521" t="n"/>
      <c r="D57" s="1521" t="n"/>
      <c r="E57" s="1521" t="n"/>
      <c r="F57" s="1521" t="n"/>
      <c r="G57" s="1521" t="n"/>
      <c r="H57" s="1521" t="n"/>
      <c r="I57" s="1521" t="n"/>
      <c r="J57" s="1521" t="n"/>
      <c r="K57" s="2152" t="n"/>
      <c r="L57" s="2112" t="n"/>
      <c r="M57" s="2177" t="n"/>
      <c r="N57" s="1521" t="n"/>
      <c r="O57" s="1521" t="n"/>
      <c r="P57" s="1521" t="n"/>
      <c r="Q57" s="1521" t="n"/>
    </row>
    <row r="58" outlineLevel="1" ht="15" customFormat="1" customHeight="1" s="1425">
      <c r="B58" s="2016" t="inlineStr">
        <is>
          <t>Omdozen 12x33cl - Bedrukt:</t>
        </is>
      </c>
      <c r="C58" s="2179" t="n"/>
      <c r="D58" s="2165" t="n"/>
      <c r="E58" s="2166" t="n"/>
      <c r="F58" s="2166" t="n"/>
      <c r="G58" s="2166" t="n"/>
      <c r="H58" s="2166" t="n"/>
      <c r="I58" s="2166" t="n"/>
      <c r="J58" s="1521" t="n"/>
      <c r="K58" s="2152">
        <f>SUM(D58:I58)</f>
        <v/>
      </c>
      <c r="L58" s="2112" t="n"/>
      <c r="M58" s="2152">
        <f>K58-K20</f>
        <v/>
      </c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Blanco</t>
        </is>
      </c>
      <c r="C59" s="2180" t="n"/>
      <c r="D59" s="2160" t="n"/>
      <c r="E59" s="2161" t="n"/>
      <c r="F59" s="2161" t="n"/>
      <c r="G59" s="2161" t="n"/>
      <c r="H59" s="2161" t="n"/>
      <c r="I59" s="2161" t="n"/>
      <c r="J59" s="1521" t="n"/>
      <c r="K59" s="2152">
        <f>SUM(D59:I59)</f>
        <v/>
      </c>
      <c r="L59" s="2112" t="n"/>
      <c r="M59" s="2152">
        <f>K59-K21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1099" t="n"/>
      <c r="C60" s="2170" t="n"/>
      <c r="D60" s="1521" t="n"/>
      <c r="E60" s="1521" t="n"/>
      <c r="F60" s="1521" t="n"/>
      <c r="G60" s="1521" t="n"/>
      <c r="H60" s="1521" t="n"/>
      <c r="I60" s="1521" t="n"/>
      <c r="J60" s="1521" t="n"/>
      <c r="K60" s="2152" t="n"/>
      <c r="L60" s="2112" t="n"/>
      <c r="M60" s="2177" t="n"/>
      <c r="N60" s="1521" t="n"/>
      <c r="O60" s="1521" t="n"/>
      <c r="P60" s="1521" t="n"/>
      <c r="Q60" s="1521" t="n"/>
    </row>
    <row r="61" outlineLevel="1" ht="15" customFormat="1" customHeight="1" s="1425">
      <c r="B61" s="2016" t="inlineStr">
        <is>
          <t>Kroonkurk:</t>
        </is>
      </c>
      <c r="C61" s="2181" t="n"/>
      <c r="D61" s="2137" t="n"/>
      <c r="E61" s="2138" t="n"/>
      <c r="F61" s="2138" t="n"/>
      <c r="G61" s="2138" t="n"/>
      <c r="H61" s="2138" t="n"/>
      <c r="I61" s="2138" t="n"/>
      <c r="J61" s="1521" t="n"/>
      <c r="K61" s="2152">
        <f>SUM(D61:I61)</f>
        <v/>
      </c>
      <c r="L61" s="2112" t="n"/>
      <c r="M61" s="2152">
        <f>C61-SUM(K17:K18)*24-SUM(K20:K21)*12</f>
        <v/>
      </c>
      <c r="N61" s="1521" t="n"/>
      <c r="O61" s="1521" t="inlineStr">
        <is>
          <t>Doos á</t>
        </is>
      </c>
      <c r="P61" s="1521" t="n"/>
      <c r="Q61" s="2137" t="n">
        <v>10000</v>
      </c>
      <c r="R61" s="2125">
        <f>K61/Q61</f>
        <v/>
      </c>
    </row>
    <row r="62" ht="15" customFormat="1" customHeight="1" s="1425">
      <c r="B62" s="1099" t="n"/>
      <c r="C62" s="1521" t="n"/>
      <c r="D62" s="1521" t="n"/>
      <c r="E62" s="1521" t="n"/>
      <c r="F62" s="1521" t="n"/>
      <c r="G62" s="1521" t="n"/>
      <c r="H62" s="1521" t="n"/>
      <c r="I62" s="1521" t="n"/>
      <c r="J62" s="1521" t="n"/>
      <c r="K62" s="2152" t="n"/>
      <c r="L62" s="2112" t="n"/>
      <c r="M62" s="2177" t="n"/>
      <c r="N62" s="1521" t="n"/>
      <c r="O62" s="2182" t="inlineStr">
        <is>
          <t>Inhoud doos kan variëren!</t>
        </is>
      </c>
    </row>
    <row r="63" outlineLevel="1" ht="15" customFormat="1" customHeight="1" s="1425">
      <c r="B63" s="2016" t="inlineStr">
        <is>
          <t>Fles 75cl</t>
        </is>
      </c>
      <c r="C63" s="2179" t="n"/>
      <c r="D63" s="2165" t="n"/>
      <c r="E63" s="2166" t="n"/>
      <c r="F63" s="2166" t="n"/>
      <c r="G63" s="2166" t="n"/>
      <c r="H63" s="2166" t="n"/>
      <c r="I63" s="2166" t="n"/>
      <c r="J63" s="1521" t="n"/>
      <c r="K63" s="2152">
        <f>SUM(D63:I63)</f>
        <v/>
      </c>
      <c r="L63" s="2112" t="n"/>
      <c r="M63" s="2177">
        <f>K63-SUM(K23:K24)*6-K25*12</f>
        <v/>
      </c>
      <c r="N63" s="1521" t="n"/>
      <c r="O63" s="1521" t="n"/>
      <c r="P63" s="1521" t="n"/>
      <c r="Q63" s="1521" t="n"/>
    </row>
    <row r="64" outlineLevel="1" ht="15" customFormat="1" customHeight="1" s="1425">
      <c r="B64" s="2016" t="inlineStr">
        <is>
          <t>Stickerlabel 75cl - Main</t>
        </is>
      </c>
      <c r="C64" s="2183" t="n"/>
      <c r="D64" s="2151" t="n"/>
      <c r="E64" s="2150" t="n"/>
      <c r="F64" s="2150" t="n"/>
      <c r="G64" s="2150" t="n"/>
      <c r="H64" s="2150" t="n"/>
      <c r="I64" s="2150" t="n"/>
      <c r="J64" s="1521" t="n"/>
      <c r="K64" s="2152">
        <f>SUM(D64:I64)</f>
        <v/>
      </c>
      <c r="L64" s="2112" t="n"/>
      <c r="M64" s="2177">
        <f>K64-K23*6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Neck</t>
        </is>
      </c>
      <c r="C65" s="2183" t="n"/>
      <c r="D65" s="2167" t="n"/>
      <c r="E65" s="2184" t="n"/>
      <c r="F65" s="2184" t="n"/>
      <c r="G65" s="2184" t="n"/>
      <c r="H65" s="2184" t="n"/>
      <c r="I65" s="2184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185" t="n"/>
      <c r="C66" s="2186" t="n"/>
      <c r="D66" s="2187" t="n"/>
      <c r="E66" s="2187" t="n"/>
      <c r="F66" s="2187" t="n"/>
      <c r="G66" s="2187" t="n"/>
      <c r="H66" s="2187" t="n"/>
      <c r="I66" s="2187" t="n"/>
      <c r="J66" s="1521" t="n"/>
      <c r="K66" s="2152" t="n"/>
      <c r="L66" s="2112" t="n"/>
      <c r="M66" s="2177" t="n"/>
      <c r="N66" s="1521" t="n"/>
      <c r="O66" s="1521" t="n"/>
      <c r="P66" s="1521" t="n"/>
      <c r="Q66" s="1521" t="n"/>
    </row>
    <row r="67" outlineLevel="1" ht="15" customFormat="1" customHeight="1" s="1425">
      <c r="B67" s="2016" t="inlineStr">
        <is>
          <t>Omdozen 6x75cl - Bedrukt:</t>
        </is>
      </c>
      <c r="C67" s="2179" t="n"/>
      <c r="D67" s="2165" t="n"/>
      <c r="E67" s="2166" t="n"/>
      <c r="F67" s="2166" t="n"/>
      <c r="G67" s="2166" t="n"/>
      <c r="H67" s="2166" t="n"/>
      <c r="I67" s="2166" t="n"/>
      <c r="J67" s="1521" t="n"/>
      <c r="K67" s="2152">
        <f>SUM(D67:I67)</f>
        <v/>
      </c>
      <c r="L67" s="2112" t="n"/>
      <c r="M67" s="2152">
        <f>K67-K23</f>
        <v/>
      </c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Blanco</t>
        </is>
      </c>
      <c r="C68" s="2188" t="n"/>
      <c r="D68" s="2160" t="n"/>
      <c r="E68" s="2161" t="n"/>
      <c r="F68" s="2161" t="n"/>
      <c r="G68" s="2161" t="n"/>
      <c r="H68" s="2161" t="n"/>
      <c r="I68" s="2161" t="n"/>
      <c r="J68" s="1521" t="n"/>
      <c r="K68" s="2152">
        <f>SUM(D68:I68)</f>
        <v/>
      </c>
      <c r="L68" s="2112" t="n"/>
      <c r="M68" s="2152">
        <f>K68-K24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1099" t="n"/>
      <c r="C69" s="2170" t="n"/>
      <c r="D69" s="1521" t="n"/>
      <c r="E69" s="1521" t="n"/>
      <c r="F69" s="1521" t="n"/>
      <c r="G69" s="1521" t="n"/>
      <c r="H69" s="1521" t="n"/>
      <c r="I69" s="1521" t="n"/>
      <c r="J69" s="1521" t="n"/>
      <c r="K69" s="2152" t="n"/>
      <c r="L69" s="2112" t="n"/>
      <c r="M69" s="2152" t="n"/>
      <c r="N69" s="1521" t="n"/>
      <c r="O69" s="1521" t="n"/>
      <c r="P69" s="1521" t="n"/>
      <c r="Q69" s="1521" t="n"/>
    </row>
    <row r="70" outlineLevel="1" ht="15" customFormat="1" customHeight="1" s="1425">
      <c r="B70" s="2016" t="inlineStr">
        <is>
          <t>Kurk:</t>
        </is>
      </c>
      <c r="C70" s="2179" t="n"/>
      <c r="D70" s="2165" t="n"/>
      <c r="E70" s="2166" t="n"/>
      <c r="F70" s="2166" t="n"/>
      <c r="G70" s="2166" t="n"/>
      <c r="H70" s="2166" t="n"/>
      <c r="I70" s="2166" t="n"/>
      <c r="J70" s="1521" t="n"/>
      <c r="K70" s="2152">
        <f>SUM(D70:I70)</f>
        <v/>
      </c>
      <c r="L70" s="2112" t="n"/>
      <c r="M70" s="2152">
        <f>K70-SUM(K23:K24)*6-K25*12</f>
        <v/>
      </c>
      <c r="N70" s="1521" t="n"/>
      <c r="O70" s="1521" t="inlineStr">
        <is>
          <t>Doos á</t>
        </is>
      </c>
      <c r="P70" s="1521" t="n"/>
      <c r="Q70" s="2189" t="n">
        <v>2500</v>
      </c>
      <c r="R70" s="2125">
        <f>K70/Q70</f>
        <v/>
      </c>
    </row>
    <row r="71" outlineLevel="1" ht="15" customFormat="1" customHeight="1" s="1425">
      <c r="B71" s="2016" t="inlineStr">
        <is>
          <t>Musseletten:</t>
        </is>
      </c>
      <c r="C71" s="2188" t="n"/>
      <c r="D71" s="2160" t="n"/>
      <c r="E71" s="2161" t="n"/>
      <c r="F71" s="2161" t="n"/>
      <c r="G71" s="2161" t="n"/>
      <c r="H71" s="2161" t="n"/>
      <c r="I71" s="2161" t="n"/>
      <c r="J71" s="2170" t="n"/>
      <c r="K71" s="2152">
        <f>SUM(D71:I71)</f>
        <v/>
      </c>
      <c r="L71" s="2112" t="n"/>
      <c r="M71" s="2152">
        <f>K71-SUM(K23:K24)*6--K25*12</f>
        <v/>
      </c>
      <c r="N71" s="1521" t="n"/>
      <c r="O71" s="1521" t="inlineStr">
        <is>
          <t>Doos á</t>
        </is>
      </c>
      <c r="P71" s="1521" t="n"/>
      <c r="Q71" s="2189" t="n">
        <v>2700</v>
      </c>
      <c r="R71" s="2125">
        <f>K71/Q71</f>
        <v/>
      </c>
    </row>
    <row r="72" ht="15" customFormat="1" customHeight="1" s="1425">
      <c r="B72" s="1099" t="n"/>
      <c r="C72" s="2170" t="n"/>
      <c r="D72" s="1521" t="n"/>
      <c r="E72" s="1521" t="n"/>
      <c r="F72" s="1521" t="n"/>
      <c r="G72" s="1521" t="n"/>
      <c r="H72" s="1521" t="n"/>
      <c r="I72" s="1521" t="n"/>
      <c r="J72" s="1521" t="n"/>
      <c r="K72" s="2190" t="n"/>
      <c r="L72" s="2112" t="n"/>
      <c r="M72" s="2177" t="n"/>
      <c r="N72" s="1521" t="n"/>
      <c r="O72" s="2182">
        <f>O62</f>
        <v/>
      </c>
    </row>
    <row r="73" outlineLevel="1" ht="15" customFormat="1" customHeight="1" s="1425">
      <c r="B73" s="2172" t="inlineStr">
        <is>
          <t>VERBRUIKEN BLIK-artikelen</t>
        </is>
      </c>
      <c r="C73" s="2147" t="inlineStr">
        <is>
          <t>Opmerkingen</t>
        </is>
      </c>
      <c r="D73" s="2010" t="inlineStr">
        <is>
          <t>Aantal</t>
        </is>
      </c>
      <c r="E73" s="2010" t="inlineStr">
        <is>
          <t>Aantal</t>
        </is>
      </c>
      <c r="F73" s="2010" t="inlineStr">
        <is>
          <t>Aantal</t>
        </is>
      </c>
      <c r="G73" s="2010" t="inlineStr">
        <is>
          <t>Aantal</t>
        </is>
      </c>
      <c r="H73" s="2010" t="inlineStr">
        <is>
          <t>Aantal</t>
        </is>
      </c>
      <c r="I73" s="2010" t="inlineStr">
        <is>
          <t>Aantal</t>
        </is>
      </c>
      <c r="J73" s="2112" t="n"/>
      <c r="K73" s="2010" t="inlineStr">
        <is>
          <t>TOTALEN</t>
        </is>
      </c>
      <c r="L73" s="2191" t="n"/>
      <c r="M73" s="2010" t="inlineStr">
        <is>
          <t>VERLIES</t>
        </is>
      </c>
      <c r="N73" s="1521" t="n"/>
      <c r="O73" s="2182" t="n"/>
      <c r="P73" s="2182" t="n"/>
      <c r="Q73" s="2182" t="n"/>
      <c r="R73" s="2182" t="n"/>
    </row>
    <row r="74" outlineLevel="1" ht="15" customFormat="1" customHeight="1" s="1425">
      <c r="B74" s="2192" t="inlineStr">
        <is>
          <t>Blik 33cl</t>
        </is>
      </c>
      <c r="C74" s="2176" t="n"/>
      <c r="D74" s="2193" t="n"/>
      <c r="E74" s="2194" t="n"/>
      <c r="F74" s="2194" t="n"/>
      <c r="G74" s="2194" t="n"/>
      <c r="H74" s="2194" t="n"/>
      <c r="I74" s="2194" t="n"/>
      <c r="J74" s="1521" t="n"/>
      <c r="K74" s="2152">
        <f>SUM(D74:I74)</f>
        <v/>
      </c>
      <c r="L74" s="2112" t="n"/>
      <c r="M74" s="2177">
        <f>K74-(K28*12)</f>
        <v/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44cl</t>
        </is>
      </c>
      <c r="C75" s="2195" t="n"/>
      <c r="D75" s="2196" t="n"/>
      <c r="E75" s="2197" t="n"/>
      <c r="F75" s="2197" t="n"/>
      <c r="G75" s="2197" t="n"/>
      <c r="H75" s="2197" t="n"/>
      <c r="I75" s="2197" t="n"/>
      <c r="J75" s="1521" t="n"/>
      <c r="K75" s="2152" t="n"/>
      <c r="L75" s="2112" t="n"/>
      <c r="M75" s="2177">
        <f>K75-(K29*12)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Deksel</t>
        </is>
      </c>
      <c r="C76" s="1615" t="n"/>
      <c r="D76" s="2167" t="n"/>
      <c r="E76" s="2184" t="n"/>
      <c r="F76" s="2184" t="n"/>
      <c r="G76" s="2184" t="n"/>
      <c r="H76" s="2184" t="n"/>
      <c r="I76" s="2184" t="n"/>
      <c r="J76" s="1521" t="n"/>
      <c r="K76" s="2152">
        <f>SUM(D76:I76)</f>
        <v/>
      </c>
      <c r="L76" s="2112" t="n"/>
      <c r="M76" s="2177">
        <f>K76-(K28*12)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Stickerlabel 33cl blik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44cl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 t="n"/>
      <c r="L78" s="2112" t="n"/>
      <c r="M78" s="2177">
        <f>K78-(K29*12)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Omdozen 12x33cl blik - Blanco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>
        <f>SUM(D79:I79)</f>
        <v/>
      </c>
      <c r="L79" s="2112" t="n"/>
      <c r="M79" s="2152">
        <f>K79-K28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24x33cl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 t="n"/>
      <c r="L80" s="2112" t="n"/>
      <c r="M80" s="2152">
        <f>K80-K29</f>
        <v/>
      </c>
    </row>
    <row r="81" outlineLevel="1" ht="15" customFormat="1" customHeight="1" s="1425">
      <c r="B81" s="2192" t="inlineStr">
        <is>
          <t>Omdozen 12x44cl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K81-K30</f>
        <v/>
      </c>
    </row>
    <row r="82" outlineLevel="1" ht="15" customFormat="1" customHeight="1" s="1425">
      <c r="B82" s="2192" t="inlineStr">
        <is>
          <t>Omdozen 24x44cl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K82-K31</f>
        <v/>
      </c>
    </row>
    <row r="83" outlineLevel="1" ht="15" customFormat="1" customHeight="1" s="1425">
      <c r="B83" s="1099" t="n"/>
      <c r="C83" s="2170" t="n"/>
      <c r="D83" s="1521" t="n"/>
      <c r="E83" s="1521" t="n"/>
      <c r="F83" s="1521" t="n"/>
      <c r="G83" s="1521" t="n"/>
      <c r="H83" s="1521" t="n"/>
      <c r="I83" s="1521" t="n"/>
      <c r="J83" s="1521" t="n"/>
      <c r="K83" s="2190" t="n"/>
      <c r="L83" s="2112" t="n"/>
      <c r="M83" s="2177" t="n"/>
    </row>
    <row r="84" ht="15" customFormat="1" customHeight="1" s="1425">
      <c r="B84" s="2172" t="inlineStr">
        <is>
          <t>VERBRUIKEN FUST-artikelen</t>
        </is>
      </c>
      <c r="C84" s="2147" t="inlineStr">
        <is>
          <t>Opmerkingen</t>
        </is>
      </c>
      <c r="D84" s="2010" t="inlineStr">
        <is>
          <t>Aantal</t>
        </is>
      </c>
      <c r="E84" s="2010" t="inlineStr">
        <is>
          <t>Aantal</t>
        </is>
      </c>
      <c r="F84" s="2010" t="inlineStr">
        <is>
          <t>Aantal</t>
        </is>
      </c>
      <c r="G84" s="2010" t="inlineStr">
        <is>
          <t>Aantal</t>
        </is>
      </c>
      <c r="H84" s="2010" t="inlineStr">
        <is>
          <t>Aantal</t>
        </is>
      </c>
      <c r="I84" s="2010" t="inlineStr">
        <is>
          <t>Aantal</t>
        </is>
      </c>
      <c r="J84" s="2112" t="n"/>
      <c r="K84" s="2010" t="inlineStr">
        <is>
          <t>TOTALEN</t>
        </is>
      </c>
      <c r="L84" s="2191" t="n"/>
      <c r="M84" s="2010" t="inlineStr">
        <is>
          <t>VERLIES</t>
        </is>
      </c>
    </row>
    <row r="85" outlineLevel="1" ht="15" customFormat="1" customHeight="1" s="1425">
      <c r="B85" s="2016" t="inlineStr">
        <is>
          <t>20L KU Fust</t>
        </is>
      </c>
      <c r="C85" s="1615" t="n"/>
      <c r="D85" s="2167" t="n"/>
      <c r="E85" s="2184" t="n"/>
      <c r="F85" s="2184" t="n"/>
      <c r="G85" s="2184" t="n"/>
      <c r="H85" s="2184" t="n"/>
      <c r="I85" s="2184" t="n"/>
      <c r="J85" s="1521" t="n"/>
      <c r="K85" s="2152">
        <f>SUM(D85:I85)</f>
        <v/>
      </c>
      <c r="L85" s="2112" t="n"/>
      <c r="M85" s="2152">
        <f>K85-K34</f>
        <v/>
      </c>
    </row>
    <row r="86" outlineLevel="1" ht="15" customFormat="1" customHeight="1" s="1425">
      <c r="B86" s="2016" t="inlineStr">
        <is>
          <t>30L Jopen Fust</t>
        </is>
      </c>
      <c r="C86" s="1615" t="n"/>
      <c r="D86" s="2167" t="n"/>
      <c r="E86" s="2184" t="n"/>
      <c r="F86" s="2184" t="n"/>
      <c r="G86" s="2184" t="n"/>
      <c r="H86" s="2184" t="n"/>
      <c r="I86" s="2184" t="n"/>
      <c r="J86" s="1521" t="n"/>
      <c r="K86" s="2152">
        <f>SUM(D86:I86)</f>
        <v/>
      </c>
      <c r="L86" s="2112" t="n"/>
      <c r="M86" s="2152">
        <f>K86-K35</f>
        <v/>
      </c>
    </row>
    <row r="87" outlineLevel="1" ht="15" customFormat="1" customHeight="1" s="1425">
      <c r="B87" s="2016" t="inlineStr">
        <is>
          <t>50L Jopen Fust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K87-K36</f>
        <v/>
      </c>
    </row>
    <row r="88" ht="15" customFormat="1" customHeight="1" s="1425">
      <c r="B88" s="2185" t="n"/>
      <c r="C88" s="2198" t="n"/>
      <c r="D88" s="2156" t="n"/>
      <c r="E88" s="2156" t="n"/>
      <c r="F88" s="2156" t="n"/>
      <c r="G88" s="2156" t="n"/>
      <c r="H88" s="2156" t="n"/>
      <c r="I88" s="2156" t="n"/>
      <c r="J88" s="1521" t="n"/>
      <c r="K88" s="2152" t="n"/>
      <c r="L88" s="2112" t="n"/>
      <c r="M88" s="2152" t="n"/>
    </row>
    <row r="89" outlineLevel="1" ht="15" customFormat="1" customHeight="1" s="1425">
      <c r="B89" s="2016" t="inlineStr">
        <is>
          <t>20L Gebr. Door Vrouwen Fust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K89-K38</f>
        <v/>
      </c>
    </row>
    <row r="90" outlineLevel="1" ht="15" customFormat="1" customHeight="1" s="1425">
      <c r="B90" s="2016" t="inlineStr">
        <is>
          <t>20L Other Fust</t>
        </is>
      </c>
      <c r="C90" s="1615" t="n"/>
      <c r="D90" s="2167" t="n"/>
      <c r="E90" s="2184" t="n"/>
      <c r="F90" s="2184" t="n"/>
      <c r="G90" s="2184" t="n"/>
      <c r="H90" s="2184" t="n"/>
      <c r="I90" s="2184" t="n"/>
      <c r="J90" s="1521" t="n"/>
      <c r="K90" s="2152">
        <f>SUM(D90:I90)</f>
        <v/>
      </c>
      <c r="L90" s="2112" t="n"/>
      <c r="M90" s="2152">
        <f>K90-K39</f>
        <v/>
      </c>
    </row>
    <row r="91" outlineLevel="1" ht="15" customFormat="1" customHeight="1" s="1425">
      <c r="B91" s="2016" t="inlineStr">
        <is>
          <t>20L KeyKeg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K91-K40</f>
        <v/>
      </c>
    </row>
    <row r="92" outlineLevel="1" ht="15" customFormat="1" customHeight="1" s="1425">
      <c r="B92" s="2016" t="inlineStr">
        <is>
          <t>30L KeyKeg</t>
        </is>
      </c>
      <c r="C92" s="1615" t="n"/>
      <c r="D92" s="2167" t="n"/>
      <c r="E92" s="2184" t="n"/>
      <c r="F92" s="2184" t="n"/>
      <c r="G92" s="2184" t="n"/>
      <c r="H92" s="2184" t="n"/>
      <c r="I92" s="2184" t="n"/>
      <c r="J92" s="1521" t="n"/>
      <c r="K92" s="2152">
        <f>SUM(D92:I92)</f>
        <v/>
      </c>
      <c r="L92" s="2112" t="n"/>
      <c r="M92" s="2152">
        <f>K92-K41</f>
        <v/>
      </c>
    </row>
    <row r="93" ht="15" customFormat="1" customHeight="1" s="1425">
      <c r="B93" s="2185" t="n"/>
      <c r="C93" s="2198" t="n"/>
      <c r="D93" s="2156" t="n"/>
      <c r="E93" s="2156" t="n"/>
      <c r="F93" s="2156" t="n"/>
      <c r="G93" s="2156" t="n"/>
      <c r="H93" s="2156" t="n"/>
      <c r="I93" s="2156" t="n"/>
      <c r="J93" s="1521" t="n"/>
      <c r="K93" s="2152" t="n"/>
      <c r="L93" s="2112" t="n"/>
      <c r="M93" s="2152" t="n"/>
    </row>
    <row r="94" outlineLevel="1" ht="15" customFormat="1" customHeight="1" s="1425">
      <c r="B94" s="2016" t="inlineStr">
        <is>
          <t>Fustdop:</t>
        </is>
      </c>
      <c r="C94" s="1615" t="n"/>
      <c r="D94" s="2167" t="n"/>
      <c r="E94" s="2184" t="n"/>
      <c r="F94" s="2184" t="n"/>
      <c r="G94" s="2184" t="n"/>
      <c r="H94" s="2184" t="n"/>
      <c r="I94" s="2184" t="n"/>
      <c r="J94" s="1521" t="n"/>
      <c r="K94" s="2152">
        <f>SUM(D94:I94)</f>
        <v/>
      </c>
      <c r="L94" s="2112" t="n"/>
      <c r="M94" s="2152">
        <f>K94-K34-K35-K36-K38-K39</f>
        <v/>
      </c>
    </row>
    <row r="95" outlineLevel="1" ht="15" customFormat="1" customHeight="1" s="1425">
      <c r="B95" s="2016" t="inlineStr">
        <is>
          <t>KeyKegFustdop: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K95-K40-K41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15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3:M43"/>
    <mergeCell ref="B3:B4"/>
    <mergeCell ref="B1:I2"/>
    <mergeCell ref="D99:E99"/>
    <mergeCell ref="M13:O13"/>
    <mergeCell ref="C3:E4"/>
    <mergeCell ref="O72:R72"/>
    <mergeCell ref="M12:O12"/>
    <mergeCell ref="Q8:R8"/>
    <mergeCell ref="H3:I4"/>
    <mergeCell ref="M8:O8"/>
    <mergeCell ref="B6:C11"/>
    <mergeCell ref="Q3:R4"/>
    <mergeCell ref="K48:M48"/>
    <mergeCell ref="Q9:R9"/>
    <mergeCell ref="B48:I48"/>
    <mergeCell ref="K15:M15"/>
    <mergeCell ref="O62:R62"/>
    <mergeCell ref="F3:G4"/>
    <mergeCell ref="D98:E98"/>
    <mergeCell ref="M9:O9"/>
    <mergeCell ref="O3:O4"/>
    <mergeCell ref="M1:R1"/>
  </mergeCells>
  <conditionalFormatting sqref="M44:M45">
    <cfRule type="cellIs" rank="0" priority="2" equalAverage="0" operator="greaterThan" aboveAverage="0" dxfId="29" text="" percent="0" bottom="0">
      <formula>0</formula>
    </cfRule>
  </conditionalFormatting>
  <conditionalFormatting sqref="M61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79:K82">
    <cfRule type="cellIs" rank="0" priority="8" equalAverage="0" operator="greaterThan" aboveAverage="0" dxfId="33" text="" percent="0" bottom="0">
      <formula>0</formula>
    </cfRule>
  </conditionalFormatting>
  <conditionalFormatting sqref="K77:K78">
    <cfRule type="cellIs" rank="0" priority="9" equalAverage="0" operator="greaterThan" aboveAverage="0" dxfId="33" text="" percent="0" bottom="0">
      <formula>0</formula>
    </cfRule>
  </conditionalFormatting>
  <conditionalFormatting sqref="K76">
    <cfRule type="cellIs" rank="0" priority="10" equalAverage="0" operator="greaterThan" aboveAverage="0" dxfId="33" text="" percent="0" bottom="0">
      <formula>0</formula>
    </cfRule>
  </conditionalFormatting>
  <conditionalFormatting sqref="K74:K75">
    <cfRule type="cellIs" rank="0" priority="11" equalAverage="0" operator="greaterThan" aboveAverage="0" dxfId="33" text="" percent="0" bottom="0">
      <formula>0</formula>
    </cfRule>
  </conditionalFormatting>
  <conditionalFormatting sqref="M73">
    <cfRule type="cellIs" rank="0" priority="12" equalAverage="0" operator="lessThan" aboveAverage="0" dxfId="12" text="" percent="0" bottom="0">
      <formula>0</formula>
    </cfRule>
  </conditionalFormatting>
  <conditionalFormatting sqref="K73">
    <cfRule type="cellIs" rank="0" priority="13" equalAverage="0" operator="lessThan" aboveAverage="0" dxfId="12" text="" percent="0" bottom="0">
      <formula>0</formula>
    </cfRule>
  </conditionalFormatting>
  <conditionalFormatting sqref="M74:M82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5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5">
    <cfRule type="cellIs" rank="0" priority="20" equalAverage="0" operator="greaterThan" aboveAverage="0" dxfId="8" text="" percent="0" bottom="0">
      <formula>0</formula>
    </cfRule>
  </conditionalFormatting>
  <conditionalFormatting sqref="M86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6">
    <cfRule type="cellIs" rank="0" priority="24" equalAverage="0" operator="greaterThan" aboveAverage="0" dxfId="8" text="" percent="0" bottom="0">
      <formula>0</formula>
    </cfRule>
  </conditionalFormatting>
  <conditionalFormatting sqref="M87:M88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7:K88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4">
    <cfRule type="cellIs" rank="0" priority="34" equalAverage="0" operator="lessThan" aboveAverage="0" dxfId="12" text="" percent="0" bottom="0">
      <formula>0</formula>
    </cfRule>
  </conditionalFormatting>
  <conditionalFormatting sqref="M34 M36:M41">
    <cfRule type="cellIs" rank="0" priority="35" equalAverage="0" operator="greaterThan" aboveAverage="0" dxfId="29" text="" percent="0" bottom="0">
      <formula>0</formula>
    </cfRule>
  </conditionalFormatting>
  <conditionalFormatting sqref="M50:M60 M62:M72 M83 M89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4">
    <cfRule type="cellIs" rank="0" priority="40" equalAverage="0" operator="lessThan" aboveAverage="0" dxfId="12" text="" percent="0" bottom="0">
      <formula>0</formula>
    </cfRule>
  </conditionalFormatting>
  <conditionalFormatting sqref="K50:K53 K55:K56 K58:K59 K63:K65 K67:K69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1 K44:K46 K89:K96 R61 R70:R71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